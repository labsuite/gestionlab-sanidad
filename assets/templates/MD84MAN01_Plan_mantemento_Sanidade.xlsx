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04c0715050766e/Documentos/GitHub/gestionlab-sanidad/assets/templates/"/>
    </mc:Choice>
  </mc:AlternateContent>
  <xr:revisionPtr revIDLastSave="0" documentId="8_{A8F56C63-F4AA-4B58-BA6A-D5F690475DD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ortada" sheetId="1" r:id="rId1"/>
    <sheet name="LAB 201" sheetId="10" r:id="rId2"/>
    <sheet name="LAB 203" sheetId="2" r:id="rId3"/>
    <sheet name="LAB 205" sheetId="3" r:id="rId4"/>
    <sheet name="LAB 207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f6cqAq+WwSFXu3FSGiAT94JARVHCEbI7jw4sMZnu0OE="/>
    </ext>
  </extLst>
</workbook>
</file>

<file path=xl/calcChain.xml><?xml version="1.0" encoding="utf-8"?>
<calcChain xmlns="http://schemas.openxmlformats.org/spreadsheetml/2006/main">
  <c r="J4" i="10" l="1"/>
  <c r="J5" i="10" s="1"/>
  <c r="O3" i="10"/>
  <c r="N3" i="10"/>
  <c r="J3" i="10"/>
  <c r="J2" i="10"/>
  <c r="J4" i="4"/>
  <c r="O3" i="4"/>
  <c r="N3" i="4"/>
  <c r="J3" i="4"/>
  <c r="J5" i="4" s="1"/>
  <c r="J4" i="3"/>
  <c r="O3" i="3"/>
  <c r="N3" i="3"/>
  <c r="J3" i="3"/>
  <c r="J2" i="3" s="1"/>
  <c r="J4" i="2"/>
  <c r="O3" i="2"/>
  <c r="N3" i="2"/>
  <c r="J3" i="2"/>
  <c r="J5" i="2" s="1"/>
  <c r="J2" i="2"/>
  <c r="J5" i="3" l="1"/>
  <c r="J2" i="4"/>
</calcChain>
</file>

<file path=xl/sharedStrings.xml><?xml version="1.0" encoding="utf-8"?>
<sst xmlns="http://schemas.openxmlformats.org/spreadsheetml/2006/main" count="100" uniqueCount="37">
  <si>
    <t>Dirección Xeral de Formación Profesional</t>
  </si>
  <si>
    <t xml:space="preserve">Rede de Centros Integrados de Formación Profesional </t>
  </si>
  <si>
    <t>MD84MAN01</t>
  </si>
  <si>
    <t>Plan de mantemento preventivo</t>
  </si>
  <si>
    <t>Versión</t>
  </si>
  <si>
    <t>Modificación</t>
  </si>
  <si>
    <t>Data</t>
  </si>
  <si>
    <t>Centro:</t>
  </si>
  <si>
    <t>CIFP Manuel Antonio</t>
  </si>
  <si>
    <t>Curso:</t>
  </si>
  <si>
    <t>2023_24</t>
  </si>
  <si>
    <t xml:space="preserve">Departamento: </t>
  </si>
  <si>
    <t>% realizado</t>
  </si>
  <si>
    <t>Valor de tolerancia en dias</t>
  </si>
  <si>
    <t>Realizados fora de prazo</t>
  </si>
  <si>
    <t>Data actual</t>
  </si>
  <si>
    <t>Data de actualización:</t>
  </si>
  <si>
    <t>Total mantementos</t>
  </si>
  <si>
    <t>Mantementos realizados</t>
  </si>
  <si>
    <t>Mantementos pendentes</t>
  </si>
  <si>
    <t>Serve para:
- Definir as instalacións, equipos e servizos de apoio sometidos ao procedemento de mantemento.
- Designar responsables específicos.
- Determinar as frecuencias de control.</t>
  </si>
  <si>
    <t>No caso do mantemento externalizado, o Responsable de mantemento limitase a xestionar a tarefa.</t>
  </si>
  <si>
    <r>
      <rPr>
        <b/>
        <sz val="10"/>
        <color rgb="FF002B4A"/>
        <rFont val="Xunta sans"/>
      </rPr>
      <t xml:space="preserve">Denominación
</t>
    </r>
    <r>
      <rPr>
        <sz val="8"/>
        <color rgb="FF002B4A"/>
        <rFont val="Xunta Sans"/>
      </rPr>
      <t>(instalación, equipo, servizo de apoio)</t>
    </r>
  </si>
  <si>
    <t>Ubicación do equipo</t>
  </si>
  <si>
    <t>Responsable 
Mantemento</t>
  </si>
  <si>
    <t>Mantemento
Interno/externo</t>
  </si>
  <si>
    <t>Periodicidade</t>
  </si>
  <si>
    <t>Operación a realizar</t>
  </si>
  <si>
    <t>Data prevista de realización</t>
  </si>
  <si>
    <t>Data de realización</t>
  </si>
  <si>
    <r>
      <rPr>
        <b/>
        <sz val="10"/>
        <color rgb="FF002B4A"/>
        <rFont val="Xunta sans"/>
      </rPr>
      <t xml:space="preserve">Supervisado </t>
    </r>
    <r>
      <rPr>
        <b/>
        <sz val="8"/>
        <color rgb="FF002B4A"/>
        <rFont val="Xunta sans"/>
      </rPr>
      <t>por</t>
    </r>
  </si>
  <si>
    <t>Observacións</t>
  </si>
  <si>
    <t>Prazo</t>
  </si>
  <si>
    <r>
      <rPr>
        <b/>
        <sz val="10"/>
        <color rgb="FF002B4A"/>
        <rFont val="Xunta sans"/>
      </rPr>
      <t xml:space="preserve">Denominación
</t>
    </r>
    <r>
      <rPr>
        <sz val="8"/>
        <color rgb="FF002B4A"/>
        <rFont val="Xunta Sans"/>
      </rPr>
      <t>(instalación, equipo, servizo de apoio)</t>
    </r>
  </si>
  <si>
    <r>
      <rPr>
        <b/>
        <sz val="10"/>
        <color rgb="FF002B4A"/>
        <rFont val="Xunta sans"/>
      </rPr>
      <t xml:space="preserve">Supervisado </t>
    </r>
    <r>
      <rPr>
        <b/>
        <sz val="8"/>
        <color rgb="FF002B4A"/>
        <rFont val="Xunta sans"/>
      </rPr>
      <t>por</t>
    </r>
  </si>
  <si>
    <r>
      <rPr>
        <b/>
        <sz val="10"/>
        <color rgb="FF002B4A"/>
        <rFont val="Xunta sans"/>
      </rPr>
      <t xml:space="preserve">Denominación
</t>
    </r>
    <r>
      <rPr>
        <sz val="8"/>
        <color rgb="FF002B4A"/>
        <rFont val="Xunta Sans"/>
      </rPr>
      <t>(instalación, equipo, servizo de apoio)</t>
    </r>
  </si>
  <si>
    <r>
      <rPr>
        <b/>
        <sz val="10"/>
        <color rgb="FF002B4A"/>
        <rFont val="Xunta sans"/>
      </rPr>
      <t xml:space="preserve">Supervisado </t>
    </r>
    <r>
      <rPr>
        <b/>
        <sz val="8"/>
        <color rgb="FF002B4A"/>
        <rFont val="Xunta sans"/>
      </rPr>
      <t>por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</si>
</sst>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[$-456]mm/dd/yy"/>
    <numFmt numFmtId="166" formatCode="[$-456]0.00%"/>
    <numFmt numFmtId="167" formatCode="[$]@"/>
    <numFmt numFmtId="168" formatCode="mm/dd/yy"/>
    <numFmt numFmtId="169" formatCode="d/m/yy"/>
  </numFmts>
  <fonts count="25" x14ac:knownFonts="1">
    <font>
      <sz val="10"/>
      <color rgb="FF000000"/>
      <name val="Arial"/>
      <scheme val="minor"/>
    </font>
    <font>
      <b/>
      <sz val="14"/>
      <color theme="1"/>
      <name val="Xunta sans"/>
    </font>
    <font>
      <sz val="10"/>
      <color theme="1"/>
      <name val="Xunta sans"/>
    </font>
    <font>
      <sz val="12"/>
      <color theme="1"/>
      <name val="Xunta sans"/>
    </font>
    <font>
      <b/>
      <sz val="20"/>
      <color rgb="FF73BDE6"/>
      <name val="Xunta sans"/>
    </font>
    <font>
      <sz val="20"/>
      <color rgb="FF73BDE6"/>
      <name val="Xunta sans"/>
    </font>
    <font>
      <b/>
      <sz val="22"/>
      <color rgb="FF007BC4"/>
      <name val="Xunta sans"/>
    </font>
    <font>
      <b/>
      <sz val="26"/>
      <color rgb="FF333399"/>
      <name val="Xunta sans"/>
    </font>
    <font>
      <b/>
      <sz val="10"/>
      <color rgb="FF002B4A"/>
      <name val="Xunta sans"/>
    </font>
    <font>
      <sz val="10"/>
      <name val="Arial"/>
    </font>
    <font>
      <sz val="10"/>
      <color rgb="FF002B4A"/>
      <name val="Xunta sans"/>
    </font>
    <font>
      <sz val="10"/>
      <color rgb="FF002B4A"/>
      <name val="Arial"/>
    </font>
    <font>
      <sz val="8"/>
      <color theme="1"/>
      <name val="Xunta sans"/>
    </font>
    <font>
      <b/>
      <sz val="14"/>
      <color rgb="FF007BC4"/>
      <name val="Xunta sans"/>
    </font>
    <font>
      <sz val="14"/>
      <color rgb="FF007BC4"/>
      <name val="Xunta sans"/>
    </font>
    <font>
      <sz val="10"/>
      <color theme="1"/>
      <name val="Arial"/>
    </font>
    <font>
      <b/>
      <sz val="18"/>
      <color rgb="FF007BC4"/>
      <name val="Xunta sans"/>
    </font>
    <font>
      <sz val="8"/>
      <color theme="1"/>
      <name val="Arial"/>
    </font>
    <font>
      <b/>
      <sz val="8"/>
      <color theme="1"/>
      <name val="Arial"/>
    </font>
    <font>
      <sz val="10"/>
      <color rgb="FF007BC4"/>
      <name val="Xunta sans"/>
    </font>
    <font>
      <sz val="10"/>
      <color theme="1"/>
      <name val="Arial"/>
    </font>
    <font>
      <b/>
      <sz val="8"/>
      <color rgb="FF002B4A"/>
      <name val="Xunta sans"/>
    </font>
    <font>
      <b/>
      <sz val="8"/>
      <color theme="1"/>
      <name val="Arial Narrow"/>
    </font>
    <font>
      <sz val="10"/>
      <color rgb="FF002B4A"/>
      <name val="Arial"/>
    </font>
    <font>
      <sz val="8"/>
      <color rgb="FF002B4A"/>
      <name val="Xunta Sans"/>
    </font>
  </fonts>
  <fills count="7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EEEEEE"/>
        <bgColor rgb="FFEEEEEE"/>
      </patternFill>
    </fill>
    <fill>
      <patternFill patternType="solid">
        <fgColor rgb="FFFFFBCC"/>
        <bgColor rgb="FFFFFBCC"/>
      </patternFill>
    </fill>
    <fill>
      <patternFill patternType="solid">
        <fgColor rgb="FFE6E6E6"/>
        <bgColor rgb="FFE6E6E6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7BC4"/>
      </bottom>
      <diagonal/>
    </border>
    <border>
      <left style="hair">
        <color rgb="FF007BC4"/>
      </left>
      <right style="hair">
        <color rgb="FF007BC4"/>
      </right>
      <top style="hair">
        <color rgb="FF007BC4"/>
      </top>
      <bottom style="hair">
        <color rgb="FF007BC4"/>
      </bottom>
      <diagonal/>
    </border>
    <border>
      <left style="hair">
        <color rgb="FF007BC4"/>
      </left>
      <right/>
      <top style="hair">
        <color rgb="FF007BC4"/>
      </top>
      <bottom style="hair">
        <color rgb="FF007BC4"/>
      </bottom>
      <diagonal/>
    </border>
    <border>
      <left/>
      <right/>
      <top style="hair">
        <color rgb="FF007BC4"/>
      </top>
      <bottom style="hair">
        <color rgb="FF007BC4"/>
      </bottom>
      <diagonal/>
    </border>
    <border>
      <left/>
      <right style="hair">
        <color rgb="FF007BC4"/>
      </right>
      <top style="hair">
        <color rgb="FF007BC4"/>
      </top>
      <bottom style="hair">
        <color rgb="FF007BC4"/>
      </bottom>
      <diagonal/>
    </border>
    <border>
      <left/>
      <right/>
      <top/>
      <bottom style="hair">
        <color rgb="FF007BC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7BC4"/>
      </bottom>
      <diagonal/>
    </border>
    <border>
      <left style="hair">
        <color rgb="FF0066FF"/>
      </left>
      <right style="hair">
        <color rgb="FF0066FF"/>
      </right>
      <top style="hair">
        <color rgb="FF0066FF"/>
      </top>
      <bottom style="hair">
        <color rgb="FF0066FF"/>
      </bottom>
      <diagonal/>
    </border>
    <border>
      <left style="thin">
        <color rgb="FF007BC4"/>
      </left>
      <right style="thin">
        <color rgb="FF007BC4"/>
      </right>
      <top style="thin">
        <color rgb="FF007BC4"/>
      </top>
      <bottom style="thin">
        <color rgb="FF007BC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1" fillId="2" borderId="2" xfId="0" applyFont="1" applyFill="1" applyBorder="1"/>
    <xf numFmtId="0" fontId="2" fillId="2" borderId="2" xfId="0" applyFont="1" applyFill="1" applyBorder="1"/>
    <xf numFmtId="0" fontId="3" fillId="0" borderId="0" xfId="0" applyFon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2" borderId="3" xfId="0" applyFont="1" applyFill="1" applyBorder="1" applyAlignment="1">
      <alignment horizontal="center" vertical="center"/>
    </xf>
    <xf numFmtId="49" fontId="10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0" fillId="0" borderId="3" xfId="0" applyFont="1" applyBorder="1" applyAlignment="1">
      <alignment horizontal="center" vertical="center"/>
    </xf>
    <xf numFmtId="0" fontId="13" fillId="0" borderId="0" xfId="0" applyFont="1"/>
    <xf numFmtId="0" fontId="15" fillId="0" borderId="0" xfId="0" applyFont="1"/>
    <xf numFmtId="0" fontId="2" fillId="0" borderId="0" xfId="0" applyFont="1" applyAlignment="1">
      <alignment wrapText="1"/>
    </xf>
    <xf numFmtId="0" fontId="17" fillId="0" borderId="0" xfId="0" applyFont="1" applyAlignment="1">
      <alignment horizontal="center"/>
    </xf>
    <xf numFmtId="165" fontId="18" fillId="3" borderId="8" xfId="0" applyNumberFormat="1" applyFont="1" applyFill="1" applyBorder="1" applyAlignment="1">
      <alignment horizontal="center" vertical="center" wrapText="1"/>
    </xf>
    <xf numFmtId="0" fontId="10" fillId="0" borderId="0" xfId="0" applyFont="1"/>
    <xf numFmtId="165" fontId="8" fillId="2" borderId="3" xfId="0" applyNumberFormat="1" applyFont="1" applyFill="1" applyBorder="1" applyAlignment="1">
      <alignment vertical="center" wrapText="1"/>
    </xf>
    <xf numFmtId="166" fontId="8" fillId="2" borderId="3" xfId="0" applyNumberFormat="1" applyFont="1" applyFill="1" applyBorder="1" applyAlignment="1">
      <alignment horizontal="center" vertical="center" wrapText="1"/>
    </xf>
    <xf numFmtId="0" fontId="10" fillId="0" borderId="9" xfId="0" applyFont="1" applyBorder="1"/>
    <xf numFmtId="0" fontId="8" fillId="2" borderId="3" xfId="0" applyFont="1" applyFill="1" applyBorder="1" applyAlignment="1">
      <alignment horizontal="center" vertical="center" wrapText="1"/>
    </xf>
    <xf numFmtId="0" fontId="17" fillId="0" borderId="0" xfId="0" applyFont="1"/>
    <xf numFmtId="0" fontId="17" fillId="4" borderId="8" xfId="0" applyFont="1" applyFill="1" applyBorder="1" applyAlignment="1">
      <alignment horizontal="center" vertical="center"/>
    </xf>
    <xf numFmtId="0" fontId="18" fillId="3" borderId="8" xfId="0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0" xfId="0" applyFont="1"/>
    <xf numFmtId="0" fontId="1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2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top"/>
    </xf>
    <xf numFmtId="0" fontId="22" fillId="5" borderId="10" xfId="0" applyFont="1" applyFill="1" applyBorder="1" applyAlignment="1">
      <alignment horizontal="center" vertical="top" wrapText="1"/>
    </xf>
    <xf numFmtId="167" fontId="10" fillId="0" borderId="3" xfId="0" applyNumberFormat="1" applyFont="1" applyBorder="1" applyAlignment="1">
      <alignment vertical="top" wrapText="1"/>
    </xf>
    <xf numFmtId="167" fontId="10" fillId="0" borderId="11" xfId="0" applyNumberFormat="1" applyFont="1" applyBorder="1" applyAlignment="1">
      <alignment vertical="top" wrapText="1"/>
    </xf>
    <xf numFmtId="49" fontId="10" fillId="0" borderId="11" xfId="0" applyNumberFormat="1" applyFont="1" applyBorder="1" applyAlignment="1">
      <alignment vertical="top" wrapText="1"/>
    </xf>
    <xf numFmtId="165" fontId="10" fillId="0" borderId="11" xfId="0" applyNumberFormat="1" applyFont="1" applyBorder="1" applyAlignment="1">
      <alignment vertical="top" wrapText="1"/>
    </xf>
    <xf numFmtId="168" fontId="15" fillId="0" borderId="0" xfId="0" applyNumberFormat="1" applyFont="1"/>
    <xf numFmtId="49" fontId="10" fillId="0" borderId="3" xfId="0" applyNumberFormat="1" applyFont="1" applyBorder="1" applyAlignment="1">
      <alignment vertical="top" wrapText="1"/>
    </xf>
    <xf numFmtId="165" fontId="10" fillId="0" borderId="3" xfId="0" applyNumberFormat="1" applyFont="1" applyBorder="1" applyAlignment="1">
      <alignment vertical="top" wrapText="1"/>
    </xf>
    <xf numFmtId="167" fontId="10" fillId="0" borderId="0" xfId="0" applyNumberFormat="1" applyFont="1" applyAlignment="1">
      <alignment vertical="top" wrapText="1"/>
    </xf>
    <xf numFmtId="49" fontId="10" fillId="0" borderId="0" xfId="0" applyNumberFormat="1" applyFont="1" applyAlignment="1">
      <alignment vertical="top" wrapText="1"/>
    </xf>
    <xf numFmtId="165" fontId="10" fillId="0" borderId="0" xfId="0" applyNumberFormat="1" applyFont="1" applyAlignment="1">
      <alignment vertical="top" wrapText="1"/>
    </xf>
    <xf numFmtId="167" fontId="2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 wrapText="1"/>
    </xf>
    <xf numFmtId="165" fontId="2" fillId="0" borderId="0" xfId="0" applyNumberFormat="1" applyFont="1" applyAlignment="1">
      <alignment vertical="top" wrapText="1"/>
    </xf>
    <xf numFmtId="167" fontId="17" fillId="0" borderId="0" xfId="0" applyNumberFormat="1" applyFont="1" applyAlignment="1">
      <alignment vertical="top" wrapText="1"/>
    </xf>
    <xf numFmtId="165" fontId="17" fillId="0" borderId="0" xfId="0" applyNumberFormat="1" applyFont="1" applyAlignment="1">
      <alignment vertical="top" wrapText="1"/>
    </xf>
    <xf numFmtId="0" fontId="15" fillId="0" borderId="0" xfId="0" applyFont="1" applyAlignment="1">
      <alignment wrapText="1"/>
    </xf>
    <xf numFmtId="0" fontId="11" fillId="0" borderId="0" xfId="0" applyFont="1" applyAlignment="1">
      <alignment vertical="top" wrapText="1"/>
    </xf>
    <xf numFmtId="167" fontId="11" fillId="0" borderId="0" xfId="0" applyNumberFormat="1" applyFont="1" applyAlignment="1">
      <alignment vertical="top" wrapText="1"/>
    </xf>
    <xf numFmtId="165" fontId="11" fillId="0" borderId="0" xfId="0" applyNumberFormat="1" applyFont="1" applyAlignment="1">
      <alignment vertical="top" wrapText="1"/>
    </xf>
    <xf numFmtId="0" fontId="23" fillId="6" borderId="0" xfId="0" applyFont="1" applyFill="1" applyAlignment="1">
      <alignment horizontal="left"/>
    </xf>
    <xf numFmtId="49" fontId="11" fillId="0" borderId="0" xfId="0" applyNumberFormat="1" applyFont="1" applyAlignment="1">
      <alignment vertical="top" wrapText="1"/>
    </xf>
    <xf numFmtId="0" fontId="15" fillId="0" borderId="0" xfId="0" applyFont="1" applyAlignment="1">
      <alignment vertical="top" wrapText="1"/>
    </xf>
    <xf numFmtId="167" fontId="15" fillId="0" borderId="0" xfId="0" applyNumberFormat="1" applyFont="1" applyAlignment="1">
      <alignment vertical="top" wrapText="1"/>
    </xf>
    <xf numFmtId="165" fontId="15" fillId="0" borderId="0" xfId="0" applyNumberFormat="1" applyFont="1" applyAlignment="1">
      <alignment vertical="top" wrapText="1"/>
    </xf>
    <xf numFmtId="169" fontId="15" fillId="0" borderId="0" xfId="0" applyNumberFormat="1" applyFont="1" applyAlignment="1">
      <alignment vertical="top" wrapText="1"/>
    </xf>
    <xf numFmtId="49" fontId="15" fillId="0" borderId="0" xfId="0" applyNumberFormat="1" applyFont="1" applyAlignment="1">
      <alignment vertical="top" wrapText="1"/>
    </xf>
    <xf numFmtId="0" fontId="10" fillId="0" borderId="4" xfId="0" applyFont="1" applyBorder="1" applyAlignment="1">
      <alignment vertical="center"/>
    </xf>
    <xf numFmtId="0" fontId="9" fillId="0" borderId="5" xfId="0" applyFont="1" applyBorder="1"/>
    <xf numFmtId="0" fontId="9" fillId="0" borderId="6" xfId="0" applyFont="1" applyBorder="1"/>
    <xf numFmtId="0" fontId="13" fillId="0" borderId="7" xfId="0" applyFont="1" applyBorder="1" applyAlignment="1">
      <alignment horizontal="left" vertical="center"/>
    </xf>
    <xf numFmtId="0" fontId="9" fillId="0" borderId="7" xfId="0" applyFont="1" applyBorder="1"/>
    <xf numFmtId="0" fontId="14" fillId="0" borderId="7" xfId="0" applyFont="1" applyBorder="1" applyAlignment="1">
      <alignment horizontal="left" vertical="center"/>
    </xf>
    <xf numFmtId="0" fontId="8" fillId="2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0" fillId="0" borderId="4" xfId="0" applyFont="1" applyBorder="1" applyAlignment="1">
      <alignment vertical="center" wrapText="1"/>
    </xf>
    <xf numFmtId="0" fontId="11" fillId="0" borderId="4" xfId="0" applyFont="1" applyBorder="1" applyAlignment="1">
      <alignment vertical="center"/>
    </xf>
    <xf numFmtId="0" fontId="16" fillId="0" borderId="0" xfId="0" applyFont="1" applyAlignment="1">
      <alignment horizontal="left" vertical="center" wrapText="1"/>
    </xf>
    <xf numFmtId="0" fontId="0" fillId="0" borderId="0" xfId="0"/>
    <xf numFmtId="0" fontId="10" fillId="0" borderId="0" xfId="0" applyFont="1" applyAlignment="1">
      <alignment horizontal="left" vertical="top"/>
    </xf>
    <xf numFmtId="0" fontId="14" fillId="0" borderId="0" xfId="0" applyFont="1" applyAlignment="1">
      <alignment horizontal="right" vertical="center"/>
    </xf>
  </cellXfs>
  <cellStyles count="1">
    <cellStyle name="Normal" xfId="0" builtinId="0"/>
  </cellStyles>
  <dxfs count="20"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BA131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b/>
        <sz val="8"/>
        <color rgb="FF002B4A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  <dxf>
      <font>
        <sz val="10"/>
      </font>
      <fill>
        <patternFill patternType="none"/>
      </fill>
      <border>
        <left style="hair">
          <color rgb="FF007BC4"/>
        </left>
        <right style="hair">
          <color rgb="FF007BC4"/>
        </right>
        <top style="hair">
          <color rgb="FF007BC4"/>
        </top>
        <bottom style="hair">
          <color rgb="FF007BC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1.488095238095238E-2"/>
          <c:y val="0.05"/>
          <c:w val="0.96974206349206349"/>
          <c:h val="0.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6211-48FF-893B-557D35CDDBA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6211-48FF-893B-557D35CDDBAB}"/>
              </c:ext>
            </c:extLst>
          </c:dPt>
          <c:cat>
            <c:strRef>
              <c:f>'LAB 201'!$I$4:$I$5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201'!$J$4:$J$5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11-48FF-893B-557D35CDD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1.488095238095238E-2"/>
          <c:y val="0.05"/>
          <c:w val="0.96974206349206349"/>
          <c:h val="0.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60DA-4EF7-A3A1-A000C7CF29CD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60DA-4EF7-A3A1-A000C7CF29CD}"/>
              </c:ext>
            </c:extLst>
          </c:dPt>
          <c:cat>
            <c:strRef>
              <c:f>'LAB 203'!$I$4:$I$5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203'!$J$4:$J$5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DA-4EF7-A3A1-A000C7CF2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C50B-4DB6-ACA3-EA1E73A8011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C50B-4DB6-ACA3-EA1E73A8011B}"/>
              </c:ext>
            </c:extLst>
          </c:dPt>
          <c:cat>
            <c:strRef>
              <c:f>'LAB 205'!$I$4:$I$5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205'!$J$4:$J$5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0B-4DB6-ACA3-EA1E73A80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2CB7-4731-B2BA-69E16ABF7028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2CB7-4731-B2BA-69E16ABF7028}"/>
              </c:ext>
            </c:extLst>
          </c:dPt>
          <c:cat>
            <c:strRef>
              <c:f>'LAB 207'!$I$4:$I$5</c:f>
              <c:strCache>
                <c:ptCount val="2"/>
                <c:pt idx="0">
                  <c:v>Mantementos realizados</c:v>
                </c:pt>
                <c:pt idx="1">
                  <c:v>Mantementos pendentes</c:v>
                </c:pt>
              </c:strCache>
            </c:strRef>
          </c:cat>
          <c:val>
            <c:numRef>
              <c:f>'LAB 207'!$J$4:$J$5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B7-4731-B2BA-69E16ABF7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86000" cy="3048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876300</xdr:colOff>
      <xdr:row>0</xdr:row>
      <xdr:rowOff>0</xdr:rowOff>
    </xdr:from>
    <xdr:ext cx="1838325" cy="352425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485775</xdr:colOff>
      <xdr:row>0</xdr:row>
      <xdr:rowOff>342900</xdr:rowOff>
    </xdr:from>
    <xdr:ext cx="4800600" cy="14763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715351DD-27E2-48AD-9EA4-0511414F9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485775</xdr:colOff>
      <xdr:row>0</xdr:row>
      <xdr:rowOff>342900</xdr:rowOff>
    </xdr:from>
    <xdr:ext cx="4800600" cy="1476375"/>
    <xdr:graphicFrame macro="">
      <xdr:nvGraphicFramePr>
        <xdr:cNvPr id="658529929" name="Chart 1" title="Gráfico">
          <a:extLst>
            <a:ext uri="{FF2B5EF4-FFF2-40B4-BE49-F238E27FC236}">
              <a16:creationId xmlns:a16="http://schemas.microsoft.com/office/drawing/2014/main" id="{00000000-0008-0000-0100-0000895E4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495300</xdr:colOff>
      <xdr:row>0</xdr:row>
      <xdr:rowOff>314325</xdr:rowOff>
    </xdr:from>
    <xdr:ext cx="5419725" cy="1504950"/>
    <xdr:graphicFrame macro="">
      <xdr:nvGraphicFramePr>
        <xdr:cNvPr id="1351784865" name="Chart 2" title="Gráfico">
          <a:extLst>
            <a:ext uri="{FF2B5EF4-FFF2-40B4-BE49-F238E27FC236}">
              <a16:creationId xmlns:a16="http://schemas.microsoft.com/office/drawing/2014/main" id="{00000000-0008-0000-0200-0000A1999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752475</xdr:colOff>
      <xdr:row>0</xdr:row>
      <xdr:rowOff>352425</xdr:rowOff>
    </xdr:from>
    <xdr:ext cx="5229225" cy="1362075"/>
    <xdr:graphicFrame macro="">
      <xdr:nvGraphicFramePr>
        <xdr:cNvPr id="51852789" name="Chart 3" title="Gráfico">
          <a:extLst>
            <a:ext uri="{FF2B5EF4-FFF2-40B4-BE49-F238E27FC236}">
              <a16:creationId xmlns:a16="http://schemas.microsoft.com/office/drawing/2014/main" id="{00000000-0008-0000-0300-0000F5351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showGridLines="0" workbookViewId="0">
      <selection activeCell="B13" sqref="A13:D16"/>
    </sheetView>
  </sheetViews>
  <sheetFormatPr baseColWidth="10" defaultColWidth="12.6640625" defaultRowHeight="15" customHeight="1" x14ac:dyDescent="0.25"/>
  <cols>
    <col min="1" max="1" width="21.33203125" customWidth="1"/>
    <col min="2" max="4" width="11.44140625" customWidth="1"/>
    <col min="5" max="5" width="12.88671875" customWidth="1"/>
    <col min="6" max="26" width="11.44140625" customWidth="1"/>
  </cols>
  <sheetData>
    <row r="1" spans="1:7" ht="44.25" customHeight="1" x14ac:dyDescent="0.25"/>
    <row r="2" spans="1:7" ht="12.75" customHeight="1" x14ac:dyDescent="0.25"/>
    <row r="3" spans="1:7" ht="12.75" customHeight="1" x14ac:dyDescent="0.25"/>
    <row r="4" spans="1:7" ht="26.25" customHeight="1" x14ac:dyDescent="0.35">
      <c r="A4" s="1" t="s">
        <v>0</v>
      </c>
      <c r="B4" s="2"/>
      <c r="C4" s="2"/>
      <c r="D4" s="2"/>
      <c r="E4" s="2"/>
      <c r="F4" s="2"/>
      <c r="G4" s="2"/>
    </row>
    <row r="5" spans="1:7" ht="30" customHeight="1" x14ac:dyDescent="0.35">
      <c r="A5" s="3" t="s">
        <v>1</v>
      </c>
      <c r="B5" s="4"/>
      <c r="C5" s="4"/>
      <c r="D5" s="4"/>
      <c r="E5" s="4"/>
      <c r="F5" s="4"/>
      <c r="G5" s="4"/>
    </row>
    <row r="6" spans="1:7" ht="12.75" customHeight="1" x14ac:dyDescent="0.3">
      <c r="A6" s="5"/>
      <c r="B6" s="6"/>
      <c r="C6" s="6"/>
      <c r="D6" s="6"/>
      <c r="E6" s="6"/>
      <c r="F6" s="6"/>
      <c r="G6" s="6"/>
    </row>
    <row r="7" spans="1:7" ht="33" customHeight="1" x14ac:dyDescent="0.45">
      <c r="A7" s="7" t="s">
        <v>2</v>
      </c>
      <c r="B7" s="7"/>
      <c r="C7" s="7"/>
      <c r="D7" s="7"/>
      <c r="E7" s="8"/>
      <c r="F7" s="9"/>
      <c r="G7" s="9"/>
    </row>
    <row r="8" spans="1:7" ht="33" x14ac:dyDescent="0.6">
      <c r="A8" s="10" t="s">
        <v>3</v>
      </c>
      <c r="B8" s="10"/>
      <c r="C8" s="10"/>
      <c r="D8" s="10"/>
      <c r="E8" s="11"/>
      <c r="F8" s="12"/>
      <c r="G8" s="6"/>
    </row>
    <row r="9" spans="1:7" ht="12.75" customHeight="1" x14ac:dyDescent="0.25">
      <c r="A9" s="6"/>
      <c r="B9" s="6"/>
      <c r="C9" s="6"/>
      <c r="D9" s="6"/>
      <c r="E9" s="6"/>
      <c r="F9" s="6"/>
      <c r="G9" s="6"/>
    </row>
    <row r="10" spans="1:7" ht="12.75" customHeight="1" x14ac:dyDescent="0.25">
      <c r="A10" s="6"/>
      <c r="B10" s="6"/>
      <c r="C10" s="6"/>
      <c r="D10" s="6"/>
      <c r="E10" s="6"/>
      <c r="F10" s="6"/>
      <c r="G10" s="6"/>
    </row>
    <row r="11" spans="1:7" ht="12.75" customHeight="1" x14ac:dyDescent="0.25">
      <c r="A11" s="6"/>
      <c r="B11" s="6"/>
      <c r="C11" s="6"/>
      <c r="D11" s="6"/>
      <c r="E11" s="6"/>
      <c r="F11" s="6"/>
      <c r="G11" s="6"/>
    </row>
    <row r="12" spans="1:7" ht="12.75" customHeight="1" x14ac:dyDescent="0.25">
      <c r="A12" s="13" t="s">
        <v>4</v>
      </c>
      <c r="B12" s="72" t="s">
        <v>5</v>
      </c>
      <c r="C12" s="67"/>
      <c r="D12" s="68"/>
      <c r="E12" s="13" t="s">
        <v>6</v>
      </c>
      <c r="F12" s="6"/>
      <c r="G12" s="6"/>
    </row>
    <row r="13" spans="1:7" ht="12.75" customHeight="1" x14ac:dyDescent="0.25">
      <c r="A13" s="14"/>
      <c r="B13" s="73"/>
      <c r="C13" s="67"/>
      <c r="D13" s="68"/>
      <c r="E13" s="15"/>
      <c r="F13" s="6"/>
      <c r="G13" s="6"/>
    </row>
    <row r="14" spans="1:7" ht="23.25" customHeight="1" x14ac:dyDescent="0.25">
      <c r="A14" s="14"/>
      <c r="B14" s="73"/>
      <c r="C14" s="67"/>
      <c r="D14" s="68"/>
      <c r="E14" s="15"/>
      <c r="F14" s="6"/>
      <c r="G14" s="6"/>
    </row>
    <row r="15" spans="1:7" ht="23.25" customHeight="1" x14ac:dyDescent="0.25">
      <c r="A15" s="14"/>
      <c r="B15" s="74"/>
      <c r="C15" s="67"/>
      <c r="D15" s="68"/>
      <c r="E15" s="15"/>
      <c r="F15" s="6"/>
      <c r="G15" s="6"/>
    </row>
    <row r="16" spans="1:7" ht="12.75" customHeight="1" x14ac:dyDescent="0.25">
      <c r="A16" s="16"/>
      <c r="B16" s="75"/>
      <c r="C16" s="67"/>
      <c r="D16" s="68"/>
      <c r="E16" s="17"/>
      <c r="F16" s="6"/>
      <c r="G16" s="18"/>
    </row>
    <row r="17" spans="1:7" ht="12.75" customHeight="1" x14ac:dyDescent="0.25">
      <c r="A17" s="14"/>
      <c r="B17" s="66"/>
      <c r="C17" s="67"/>
      <c r="D17" s="68"/>
      <c r="E17" s="19"/>
      <c r="F17" s="6"/>
      <c r="G17" s="18"/>
    </row>
    <row r="18" spans="1:7" ht="12.75" customHeight="1" x14ac:dyDescent="0.25">
      <c r="A18" s="14"/>
      <c r="B18" s="66"/>
      <c r="C18" s="67"/>
      <c r="D18" s="68"/>
      <c r="E18" s="19"/>
      <c r="F18" s="6"/>
      <c r="G18" s="6"/>
    </row>
    <row r="19" spans="1:7" ht="12.75" customHeight="1" x14ac:dyDescent="0.25">
      <c r="A19" s="14"/>
      <c r="B19" s="66"/>
      <c r="C19" s="67"/>
      <c r="D19" s="68"/>
      <c r="E19" s="19"/>
      <c r="F19" s="6"/>
      <c r="G19" s="6"/>
    </row>
    <row r="20" spans="1:7" ht="12.75" customHeight="1" x14ac:dyDescent="0.25">
      <c r="A20" s="14"/>
      <c r="B20" s="66"/>
      <c r="C20" s="67"/>
      <c r="D20" s="68"/>
      <c r="E20" s="19"/>
      <c r="F20" s="6"/>
      <c r="G20" s="6"/>
    </row>
    <row r="21" spans="1:7" ht="12.75" customHeight="1" x14ac:dyDescent="0.25">
      <c r="A21" s="14"/>
      <c r="B21" s="66"/>
      <c r="C21" s="67"/>
      <c r="D21" s="68"/>
      <c r="E21" s="19"/>
      <c r="F21" s="6"/>
      <c r="G21" s="6"/>
    </row>
    <row r="22" spans="1:7" ht="12.75" customHeight="1" x14ac:dyDescent="0.25">
      <c r="A22" s="6"/>
      <c r="B22" s="6"/>
      <c r="C22" s="6"/>
      <c r="D22" s="6"/>
      <c r="E22" s="6"/>
      <c r="F22" s="6"/>
      <c r="G22" s="6"/>
    </row>
    <row r="23" spans="1:7" ht="24" customHeight="1" x14ac:dyDescent="0.35">
      <c r="A23" s="20" t="s">
        <v>7</v>
      </c>
      <c r="B23" s="20" t="s">
        <v>8</v>
      </c>
      <c r="C23" s="6"/>
      <c r="D23" s="6"/>
      <c r="E23" s="6"/>
      <c r="F23" s="6"/>
      <c r="G23" s="6"/>
    </row>
    <row r="24" spans="1:7" ht="24" customHeight="1" x14ac:dyDescent="0.35">
      <c r="A24" s="20" t="s">
        <v>9</v>
      </c>
      <c r="B24" s="69" t="s">
        <v>10</v>
      </c>
      <c r="C24" s="70"/>
      <c r="D24" s="6"/>
      <c r="E24" s="6"/>
      <c r="F24" s="6"/>
      <c r="G24" s="6"/>
    </row>
    <row r="25" spans="1:7" ht="36.75" customHeight="1" x14ac:dyDescent="0.35">
      <c r="A25" s="20" t="s">
        <v>11</v>
      </c>
      <c r="B25" s="71"/>
      <c r="C25" s="70"/>
      <c r="D25" s="6"/>
      <c r="E25" s="6"/>
      <c r="F25" s="6"/>
      <c r="G25" s="6"/>
    </row>
    <row r="26" spans="1:7" ht="12.75" customHeight="1" x14ac:dyDescent="0.25">
      <c r="A26" s="21"/>
      <c r="B26" s="21"/>
      <c r="C26" s="21"/>
      <c r="D26" s="21"/>
      <c r="E26" s="21"/>
      <c r="F26" s="21"/>
      <c r="G26" s="21"/>
    </row>
    <row r="27" spans="1:7" ht="12.75" customHeight="1" x14ac:dyDescent="0.25"/>
    <row r="28" spans="1:7" ht="12.75" customHeight="1" x14ac:dyDescent="0.25"/>
    <row r="29" spans="1:7" ht="12.75" customHeight="1" x14ac:dyDescent="0.25"/>
    <row r="30" spans="1:7" ht="12.75" customHeight="1" x14ac:dyDescent="0.25"/>
    <row r="31" spans="1:7" ht="12.75" customHeight="1" x14ac:dyDescent="0.25"/>
    <row r="32" spans="1:7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mergeCells count="12">
    <mergeCell ref="B17:D17"/>
    <mergeCell ref="B18:D18"/>
    <mergeCell ref="B12:D12"/>
    <mergeCell ref="B13:D13"/>
    <mergeCell ref="B14:D14"/>
    <mergeCell ref="B15:D15"/>
    <mergeCell ref="B16:D16"/>
    <mergeCell ref="B19:D19"/>
    <mergeCell ref="B20:D20"/>
    <mergeCell ref="B21:D21"/>
    <mergeCell ref="B24:C24"/>
    <mergeCell ref="B25:C25"/>
  </mergeCells>
  <dataValidations count="1">
    <dataValidation type="list" allowBlank="1" showErrorMessage="1" sqref="B24" xr:uid="{00000000-0002-0000-0000-000000000000}">
      <formula1>"----,2021_22,2022_23,2023_24,2024_25"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40800-DAC7-448D-A420-1C6B3D96E199}">
  <dimension ref="A1:AI1000"/>
  <sheetViews>
    <sheetView showGridLines="0" workbookViewId="0">
      <selection activeCell="A11" sqref="A11:XFD35"/>
    </sheetView>
  </sheetViews>
  <sheetFormatPr baseColWidth="10" defaultColWidth="12.6640625" defaultRowHeight="15" customHeight="1" x14ac:dyDescent="0.25"/>
  <cols>
    <col min="1" max="1" width="85.44140625" customWidth="1"/>
    <col min="2" max="2" width="18.44140625" customWidth="1"/>
    <col min="3" max="3" width="18.21875" customWidth="1"/>
    <col min="4" max="4" width="17" customWidth="1"/>
    <col min="5" max="5" width="17.6640625" customWidth="1"/>
    <col min="6" max="6" width="18.109375" customWidth="1"/>
    <col min="7" max="7" width="15" customWidth="1"/>
    <col min="8" max="8" width="13.109375" customWidth="1"/>
    <col min="9" max="9" width="32.7773437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22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7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23.2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COUNTA(A11:A402)</f>
        <v>0</v>
      </c>
      <c r="K3" s="21"/>
      <c r="L3" s="30"/>
      <c r="M3" s="31">
        <v>30</v>
      </c>
      <c r="N3" s="32">
        <f>COUNTIF(L2:L402,"N")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COUNTA(H11:H402)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3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I7" s="36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3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3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22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30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0"/>
      <c r="B11" s="40"/>
      <c r="C11" s="40"/>
      <c r="D11" s="41"/>
      <c r="E11" s="41"/>
      <c r="F11" s="42"/>
      <c r="G11" s="43"/>
      <c r="H11" s="43"/>
      <c r="I11" s="41"/>
      <c r="J11" s="41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0"/>
      <c r="B12" s="40"/>
      <c r="C12" s="40"/>
      <c r="D12" s="41"/>
      <c r="E12" s="41"/>
      <c r="F12" s="42"/>
      <c r="G12" s="43"/>
      <c r="H12" s="43"/>
      <c r="I12" s="41"/>
      <c r="J12" s="41"/>
      <c r="K12" s="21"/>
      <c r="L12" s="23"/>
      <c r="M12" s="21"/>
      <c r="N12" s="44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0"/>
      <c r="B13" s="40"/>
      <c r="C13" s="40"/>
      <c r="D13" s="41"/>
      <c r="E13" s="41"/>
      <c r="F13" s="42"/>
      <c r="G13" s="43"/>
      <c r="H13" s="43"/>
      <c r="I13" s="41"/>
      <c r="J13" s="41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0"/>
      <c r="B14" s="40"/>
      <c r="C14" s="40"/>
      <c r="D14" s="41"/>
      <c r="E14" s="41"/>
      <c r="F14" s="42"/>
      <c r="G14" s="43"/>
      <c r="H14" s="43"/>
      <c r="I14" s="41"/>
      <c r="J14" s="41"/>
      <c r="K14" s="21"/>
      <c r="L14" s="23"/>
      <c r="M14" s="21"/>
      <c r="N14" s="21"/>
      <c r="O14" s="21"/>
      <c r="P14" s="21"/>
      <c r="Q14" s="21"/>
      <c r="R14" s="21"/>
      <c r="S14" s="44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0"/>
      <c r="B15" s="40"/>
      <c r="C15" s="40"/>
      <c r="D15" s="41"/>
      <c r="E15" s="41"/>
      <c r="F15" s="42"/>
      <c r="G15" s="43"/>
      <c r="H15" s="43"/>
      <c r="I15" s="41"/>
      <c r="J15" s="41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0"/>
      <c r="B16" s="40"/>
      <c r="C16" s="40"/>
      <c r="D16" s="41"/>
      <c r="E16" s="41"/>
      <c r="F16" s="42"/>
      <c r="G16" s="43"/>
      <c r="H16" s="43"/>
      <c r="I16" s="41"/>
      <c r="J16" s="41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0"/>
      <c r="B17" s="40"/>
      <c r="C17" s="40"/>
      <c r="D17" s="41"/>
      <c r="E17" s="41"/>
      <c r="F17" s="42"/>
      <c r="G17" s="43"/>
      <c r="H17" s="43"/>
      <c r="I17" s="41"/>
      <c r="J17" s="41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0"/>
      <c r="B18" s="40"/>
      <c r="C18" s="40"/>
      <c r="D18" s="41"/>
      <c r="E18" s="41"/>
      <c r="F18" s="42"/>
      <c r="G18" s="43"/>
      <c r="H18" s="43"/>
      <c r="I18" s="41"/>
      <c r="J18" s="41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0"/>
      <c r="B19" s="40"/>
      <c r="C19" s="40"/>
      <c r="D19" s="41"/>
      <c r="E19" s="41"/>
      <c r="F19" s="42"/>
      <c r="G19" s="43"/>
      <c r="H19" s="43"/>
      <c r="I19" s="41"/>
      <c r="J19" s="41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0"/>
      <c r="B20" s="40"/>
      <c r="C20" s="40"/>
      <c r="D20" s="41"/>
      <c r="E20" s="41"/>
      <c r="F20" s="42"/>
      <c r="G20" s="43"/>
      <c r="H20" s="43"/>
      <c r="I20" s="41"/>
      <c r="J20" s="41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0"/>
      <c r="B21" s="40"/>
      <c r="C21" s="40"/>
      <c r="D21" s="41"/>
      <c r="E21" s="41"/>
      <c r="F21" s="42"/>
      <c r="G21" s="43"/>
      <c r="H21" s="43"/>
      <c r="I21" s="41"/>
      <c r="J21" s="41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0"/>
      <c r="B22" s="40"/>
      <c r="C22" s="40"/>
      <c r="D22" s="41"/>
      <c r="E22" s="41"/>
      <c r="F22" s="42"/>
      <c r="G22" s="43"/>
      <c r="H22" s="43"/>
      <c r="I22" s="41"/>
      <c r="J22" s="41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0"/>
      <c r="B23" s="40"/>
      <c r="C23" s="40"/>
      <c r="D23" s="40"/>
      <c r="E23" s="40"/>
      <c r="F23" s="45"/>
      <c r="G23" s="46"/>
      <c r="H23" s="43"/>
      <c r="I23" s="40"/>
      <c r="J23" s="40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0"/>
      <c r="B24" s="40"/>
      <c r="C24" s="40"/>
      <c r="D24" s="40"/>
      <c r="E24" s="40"/>
      <c r="F24" s="45"/>
      <c r="G24" s="46"/>
      <c r="H24" s="43"/>
      <c r="I24" s="40"/>
      <c r="J24" s="40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0"/>
      <c r="B25" s="40"/>
      <c r="C25" s="40"/>
      <c r="D25" s="40"/>
      <c r="E25" s="40"/>
      <c r="F25" s="45"/>
      <c r="G25" s="46"/>
      <c r="H25" s="43"/>
      <c r="I25" s="40"/>
      <c r="J25" s="40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40"/>
      <c r="B26" s="40"/>
      <c r="C26" s="40"/>
      <c r="D26" s="40"/>
      <c r="E26" s="40"/>
      <c r="F26" s="45"/>
      <c r="G26" s="46"/>
      <c r="H26" s="43"/>
      <c r="I26" s="40"/>
      <c r="J26" s="40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40"/>
      <c r="B27" s="40"/>
      <c r="C27" s="40"/>
      <c r="D27" s="40"/>
      <c r="E27" s="40"/>
      <c r="F27" s="45"/>
      <c r="G27" s="46"/>
      <c r="H27" s="43"/>
      <c r="I27" s="40"/>
      <c r="J27" s="40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40"/>
      <c r="B28" s="40"/>
      <c r="C28" s="40"/>
      <c r="D28" s="40"/>
      <c r="E28" s="40"/>
      <c r="F28" s="45"/>
      <c r="G28" s="46"/>
      <c r="H28" s="43"/>
      <c r="I28" s="40"/>
      <c r="J28" s="40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40"/>
      <c r="B29" s="40"/>
      <c r="C29" s="40"/>
      <c r="D29" s="40"/>
      <c r="E29" s="40"/>
      <c r="F29" s="45"/>
      <c r="G29" s="46"/>
      <c r="H29" s="43"/>
      <c r="I29" s="40"/>
      <c r="J29" s="40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40"/>
      <c r="B30" s="40"/>
      <c r="C30" s="40"/>
      <c r="D30" s="40"/>
      <c r="E30" s="40"/>
      <c r="F30" s="45"/>
      <c r="G30" s="46"/>
      <c r="H30" s="43"/>
      <c r="I30" s="40"/>
      <c r="J30" s="40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40"/>
      <c r="B31" s="40"/>
      <c r="C31" s="40"/>
      <c r="D31" s="40"/>
      <c r="E31" s="40"/>
      <c r="F31" s="45"/>
      <c r="G31" s="46"/>
      <c r="H31" s="43"/>
      <c r="I31" s="40"/>
      <c r="J31" s="40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40"/>
      <c r="B32" s="40"/>
      <c r="C32" s="40"/>
      <c r="D32" s="40"/>
      <c r="E32" s="40"/>
      <c r="F32" s="45"/>
      <c r="G32" s="46"/>
      <c r="H32" s="43"/>
      <c r="I32" s="40"/>
      <c r="J32" s="40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47"/>
      <c r="B33" s="47"/>
      <c r="C33" s="47"/>
      <c r="D33" s="47"/>
      <c r="E33" s="47"/>
      <c r="F33" s="48"/>
      <c r="G33" s="49"/>
      <c r="H33" s="49"/>
      <c r="I33" s="47"/>
      <c r="J33" s="47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47"/>
      <c r="B34" s="47"/>
      <c r="C34" s="47"/>
      <c r="D34" s="47"/>
      <c r="E34" s="47"/>
      <c r="F34" s="48"/>
      <c r="G34" s="49"/>
      <c r="H34" s="49"/>
      <c r="I34" s="47"/>
      <c r="J34" s="47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47"/>
      <c r="B35" s="47"/>
      <c r="C35" s="47"/>
      <c r="D35" s="47"/>
      <c r="E35" s="47"/>
      <c r="F35" s="48"/>
      <c r="G35" s="49"/>
      <c r="H35" s="49"/>
      <c r="I35" s="47"/>
      <c r="J35" s="47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47"/>
      <c r="B36" s="47"/>
      <c r="C36" s="47"/>
      <c r="D36" s="47"/>
      <c r="E36" s="47"/>
      <c r="F36" s="48"/>
      <c r="G36" s="49"/>
      <c r="H36" s="49"/>
      <c r="I36" s="47"/>
      <c r="J36" s="47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47"/>
      <c r="B37" s="47"/>
      <c r="C37" s="47"/>
      <c r="D37" s="47"/>
      <c r="E37" s="47"/>
      <c r="F37" s="48"/>
      <c r="G37" s="49"/>
      <c r="H37" s="49"/>
      <c r="I37" s="47"/>
      <c r="J37" s="47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47"/>
      <c r="B38" s="47"/>
      <c r="C38" s="47"/>
      <c r="D38" s="47"/>
      <c r="E38" s="47"/>
      <c r="F38" s="48"/>
      <c r="G38" s="49"/>
      <c r="H38" s="49"/>
      <c r="I38" s="47"/>
      <c r="J38" s="47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47"/>
      <c r="B39" s="47"/>
      <c r="C39" s="47"/>
      <c r="D39" s="47"/>
      <c r="E39" s="47"/>
      <c r="F39" s="48"/>
      <c r="G39" s="49"/>
      <c r="H39" s="49"/>
      <c r="I39" s="47"/>
      <c r="J39" s="47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47"/>
      <c r="B40" s="47"/>
      <c r="C40" s="47"/>
      <c r="D40" s="47"/>
      <c r="E40" s="47"/>
      <c r="F40" s="48"/>
      <c r="G40" s="49"/>
      <c r="H40" s="49"/>
      <c r="I40" s="47"/>
      <c r="J40" s="47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47"/>
      <c r="B41" s="47"/>
      <c r="C41" s="47"/>
      <c r="D41" s="47"/>
      <c r="E41" s="47"/>
      <c r="F41" s="48"/>
      <c r="G41" s="49"/>
      <c r="H41" s="49"/>
      <c r="I41" s="47"/>
      <c r="J41" s="47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47"/>
      <c r="B42" s="47"/>
      <c r="C42" s="47"/>
      <c r="D42" s="47"/>
      <c r="E42" s="47"/>
      <c r="F42" s="48"/>
      <c r="G42" s="49"/>
      <c r="H42" s="49"/>
      <c r="I42" s="47"/>
      <c r="J42" s="47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47"/>
      <c r="B43" s="47"/>
      <c r="C43" s="47"/>
      <c r="D43" s="47"/>
      <c r="E43" s="47"/>
      <c r="F43" s="48"/>
      <c r="G43" s="49"/>
      <c r="H43" s="49"/>
      <c r="I43" s="47"/>
      <c r="J43" s="47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47"/>
      <c r="B44" s="47"/>
      <c r="C44" s="47"/>
      <c r="D44" s="47"/>
      <c r="E44" s="47"/>
      <c r="F44" s="48"/>
      <c r="G44" s="49"/>
      <c r="H44" s="49"/>
      <c r="I44" s="47"/>
      <c r="J44" s="47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47"/>
      <c r="B45" s="47"/>
      <c r="C45" s="47"/>
      <c r="D45" s="47"/>
      <c r="E45" s="47"/>
      <c r="F45" s="48"/>
      <c r="G45" s="49"/>
      <c r="H45" s="49"/>
      <c r="I45" s="47"/>
      <c r="J45" s="47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47"/>
      <c r="B46" s="47"/>
      <c r="C46" s="47"/>
      <c r="D46" s="47"/>
      <c r="E46" s="47"/>
      <c r="F46" s="48"/>
      <c r="G46" s="49"/>
      <c r="H46" s="49"/>
      <c r="I46" s="47"/>
      <c r="J46" s="47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47"/>
      <c r="B47" s="47"/>
      <c r="C47" s="47"/>
      <c r="D47" s="47"/>
      <c r="E47" s="47"/>
      <c r="F47" s="48"/>
      <c r="G47" s="49"/>
      <c r="H47" s="49"/>
      <c r="I47" s="47"/>
      <c r="J47" s="47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47"/>
      <c r="B48" s="47"/>
      <c r="C48" s="47"/>
      <c r="D48" s="47"/>
      <c r="E48" s="47"/>
      <c r="F48" s="48"/>
      <c r="G48" s="49"/>
      <c r="H48" s="49"/>
      <c r="I48" s="47"/>
      <c r="J48" s="47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47"/>
      <c r="B49" s="47"/>
      <c r="C49" s="47"/>
      <c r="D49" s="47"/>
      <c r="E49" s="47"/>
      <c r="F49" s="48"/>
      <c r="G49" s="49"/>
      <c r="H49" s="49"/>
      <c r="I49" s="47"/>
      <c r="J49" s="47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47"/>
      <c r="B50" s="47"/>
      <c r="C50" s="47"/>
      <c r="D50" s="47"/>
      <c r="E50" s="47"/>
      <c r="F50" s="48"/>
      <c r="G50" s="49"/>
      <c r="H50" s="49"/>
      <c r="I50" s="47"/>
      <c r="J50" s="47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47"/>
      <c r="B51" s="47"/>
      <c r="C51" s="47"/>
      <c r="D51" s="47"/>
      <c r="E51" s="47"/>
      <c r="F51" s="48"/>
      <c r="G51" s="49"/>
      <c r="H51" s="49"/>
      <c r="I51" s="47"/>
      <c r="J51" s="47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47"/>
      <c r="B52" s="47"/>
      <c r="C52" s="47"/>
      <c r="D52" s="47"/>
      <c r="E52" s="47"/>
      <c r="F52" s="48"/>
      <c r="G52" s="49"/>
      <c r="H52" s="49"/>
      <c r="I52" s="47"/>
      <c r="J52" s="47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47"/>
      <c r="B53" s="47"/>
      <c r="C53" s="47"/>
      <c r="D53" s="47"/>
      <c r="E53" s="47"/>
      <c r="F53" s="48"/>
      <c r="G53" s="49"/>
      <c r="H53" s="49"/>
      <c r="I53" s="47"/>
      <c r="J53" s="47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47"/>
      <c r="B54" s="47"/>
      <c r="C54" s="47"/>
      <c r="D54" s="47"/>
      <c r="E54" s="47"/>
      <c r="F54" s="48"/>
      <c r="G54" s="49"/>
      <c r="H54" s="49"/>
      <c r="I54" s="47"/>
      <c r="J54" s="47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47"/>
      <c r="B55" s="47"/>
      <c r="C55" s="47"/>
      <c r="D55" s="47"/>
      <c r="E55" s="47"/>
      <c r="F55" s="48"/>
      <c r="G55" s="49"/>
      <c r="H55" s="49"/>
      <c r="I55" s="47"/>
      <c r="J55" s="47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47"/>
      <c r="B56" s="47"/>
      <c r="C56" s="47"/>
      <c r="D56" s="47"/>
      <c r="E56" s="47"/>
      <c r="F56" s="48"/>
      <c r="G56" s="49"/>
      <c r="H56" s="49"/>
      <c r="I56" s="47"/>
      <c r="J56" s="47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47"/>
      <c r="B57" s="47"/>
      <c r="C57" s="47"/>
      <c r="D57" s="47"/>
      <c r="E57" s="47"/>
      <c r="F57" s="48"/>
      <c r="G57" s="49"/>
      <c r="H57" s="49"/>
      <c r="I57" s="47"/>
      <c r="J57" s="47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47"/>
      <c r="B58" s="47"/>
      <c r="C58" s="47"/>
      <c r="D58" s="47"/>
      <c r="E58" s="47"/>
      <c r="F58" s="48"/>
      <c r="G58" s="49"/>
      <c r="H58" s="49"/>
      <c r="I58" s="47"/>
      <c r="J58" s="47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47"/>
      <c r="B59" s="47"/>
      <c r="C59" s="47"/>
      <c r="D59" s="47"/>
      <c r="E59" s="47"/>
      <c r="F59" s="48"/>
      <c r="G59" s="49"/>
      <c r="H59" s="49"/>
      <c r="I59" s="47"/>
      <c r="J59" s="47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47"/>
      <c r="B60" s="47"/>
      <c r="C60" s="47"/>
      <c r="D60" s="47"/>
      <c r="E60" s="47"/>
      <c r="F60" s="48"/>
      <c r="G60" s="49"/>
      <c r="H60" s="49"/>
      <c r="I60" s="47"/>
      <c r="J60" s="47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47"/>
      <c r="B61" s="47"/>
      <c r="C61" s="47"/>
      <c r="D61" s="47"/>
      <c r="E61" s="47"/>
      <c r="F61" s="48"/>
      <c r="G61" s="49"/>
      <c r="H61" s="49"/>
      <c r="I61" s="47"/>
      <c r="J61" s="47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47"/>
      <c r="B62" s="47"/>
      <c r="C62" s="47"/>
      <c r="D62" s="47"/>
      <c r="E62" s="47"/>
      <c r="F62" s="48"/>
      <c r="G62" s="49"/>
      <c r="H62" s="49"/>
      <c r="I62" s="47"/>
      <c r="J62" s="47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47"/>
      <c r="B63" s="47"/>
      <c r="C63" s="47"/>
      <c r="D63" s="47"/>
      <c r="E63" s="47"/>
      <c r="F63" s="48"/>
      <c r="G63" s="49"/>
      <c r="H63" s="49"/>
      <c r="I63" s="47"/>
      <c r="J63" s="47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47"/>
      <c r="B64" s="47"/>
      <c r="C64" s="47"/>
      <c r="D64" s="47"/>
      <c r="E64" s="47"/>
      <c r="F64" s="48"/>
      <c r="G64" s="49"/>
      <c r="H64" s="49"/>
      <c r="I64" s="47"/>
      <c r="J64" s="47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47"/>
      <c r="B65" s="47"/>
      <c r="C65" s="47"/>
      <c r="D65" s="47"/>
      <c r="E65" s="47"/>
      <c r="F65" s="48"/>
      <c r="G65" s="49"/>
      <c r="H65" s="49"/>
      <c r="I65" s="47"/>
      <c r="J65" s="47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0"/>
      <c r="B66" s="50"/>
      <c r="C66" s="50"/>
      <c r="D66" s="50"/>
      <c r="E66" s="50"/>
      <c r="F66" s="51"/>
      <c r="G66" s="52"/>
      <c r="H66" s="52"/>
      <c r="I66" s="50"/>
      <c r="J66" s="50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0"/>
      <c r="B67" s="50"/>
      <c r="C67" s="50"/>
      <c r="D67" s="50"/>
      <c r="E67" s="50"/>
      <c r="F67" s="51"/>
      <c r="G67" s="52"/>
      <c r="H67" s="52"/>
      <c r="I67" s="50"/>
      <c r="J67" s="50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0"/>
      <c r="B68" s="50"/>
      <c r="C68" s="50"/>
      <c r="D68" s="50"/>
      <c r="E68" s="50"/>
      <c r="F68" s="51"/>
      <c r="G68" s="52"/>
      <c r="H68" s="52"/>
      <c r="I68" s="50"/>
      <c r="J68" s="50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0"/>
      <c r="B69" s="50"/>
      <c r="C69" s="50"/>
      <c r="D69" s="50"/>
      <c r="E69" s="50"/>
      <c r="F69" s="51"/>
      <c r="G69" s="52"/>
      <c r="H69" s="52"/>
      <c r="I69" s="50"/>
      <c r="J69" s="50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0"/>
      <c r="B70" s="50"/>
      <c r="C70" s="50"/>
      <c r="D70" s="50"/>
      <c r="E70" s="50"/>
      <c r="F70" s="51"/>
      <c r="G70" s="52"/>
      <c r="H70" s="52"/>
      <c r="I70" s="50"/>
      <c r="J70" s="50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0"/>
      <c r="B71" s="50"/>
      <c r="C71" s="50"/>
      <c r="D71" s="50"/>
      <c r="E71" s="50"/>
      <c r="F71" s="51"/>
      <c r="G71" s="52"/>
      <c r="H71" s="52"/>
      <c r="I71" s="50"/>
      <c r="J71" s="50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0"/>
      <c r="B72" s="50"/>
      <c r="C72" s="50"/>
      <c r="D72" s="50"/>
      <c r="E72" s="50"/>
      <c r="F72" s="51"/>
      <c r="G72" s="52"/>
      <c r="H72" s="52"/>
      <c r="I72" s="50"/>
      <c r="J72" s="50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0"/>
      <c r="B73" s="50"/>
      <c r="C73" s="50"/>
      <c r="D73" s="50"/>
      <c r="E73" s="50"/>
      <c r="F73" s="51"/>
      <c r="G73" s="52"/>
      <c r="H73" s="52"/>
      <c r="I73" s="50"/>
      <c r="J73" s="50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0"/>
      <c r="B74" s="50"/>
      <c r="C74" s="50"/>
      <c r="D74" s="50"/>
      <c r="E74" s="50"/>
      <c r="F74" s="51"/>
      <c r="G74" s="52"/>
      <c r="H74" s="52"/>
      <c r="I74" s="50"/>
      <c r="J74" s="50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0"/>
      <c r="B75" s="50"/>
      <c r="C75" s="50"/>
      <c r="D75" s="50"/>
      <c r="E75" s="50"/>
      <c r="F75" s="51"/>
      <c r="G75" s="52"/>
      <c r="H75" s="52"/>
      <c r="I75" s="50"/>
      <c r="J75" s="50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0"/>
      <c r="B76" s="50"/>
      <c r="C76" s="50"/>
      <c r="D76" s="50"/>
      <c r="E76" s="50"/>
      <c r="F76" s="51"/>
      <c r="G76" s="52"/>
      <c r="H76" s="52"/>
      <c r="I76" s="50"/>
      <c r="J76" s="50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0"/>
      <c r="B77" s="50"/>
      <c r="C77" s="50"/>
      <c r="D77" s="50"/>
      <c r="E77" s="50"/>
      <c r="F77" s="51"/>
      <c r="G77" s="52"/>
      <c r="H77" s="52"/>
      <c r="I77" s="50"/>
      <c r="J77" s="50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0"/>
      <c r="B78" s="50"/>
      <c r="C78" s="50"/>
      <c r="D78" s="50"/>
      <c r="E78" s="50"/>
      <c r="F78" s="51"/>
      <c r="G78" s="52"/>
      <c r="H78" s="52"/>
      <c r="I78" s="50"/>
      <c r="J78" s="50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0"/>
      <c r="B79" s="50"/>
      <c r="C79" s="50"/>
      <c r="D79" s="50"/>
      <c r="E79" s="50"/>
      <c r="F79" s="51"/>
      <c r="G79" s="52"/>
      <c r="H79" s="52"/>
      <c r="I79" s="50"/>
      <c r="J79" s="50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0"/>
      <c r="B80" s="50"/>
      <c r="C80" s="50"/>
      <c r="D80" s="50"/>
      <c r="E80" s="50"/>
      <c r="F80" s="51"/>
      <c r="G80" s="52"/>
      <c r="H80" s="52"/>
      <c r="I80" s="50"/>
      <c r="J80" s="50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0"/>
      <c r="B81" s="50"/>
      <c r="C81" s="50"/>
      <c r="D81" s="50"/>
      <c r="E81" s="50"/>
      <c r="F81" s="51"/>
      <c r="G81" s="52"/>
      <c r="H81" s="52"/>
      <c r="I81" s="50"/>
      <c r="J81" s="50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0"/>
      <c r="B82" s="50"/>
      <c r="C82" s="50"/>
      <c r="D82" s="50"/>
      <c r="E82" s="50"/>
      <c r="F82" s="51"/>
      <c r="G82" s="52"/>
      <c r="H82" s="52"/>
      <c r="I82" s="50"/>
      <c r="J82" s="50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0"/>
      <c r="B83" s="50"/>
      <c r="C83" s="50"/>
      <c r="D83" s="50"/>
      <c r="E83" s="50"/>
      <c r="F83" s="51"/>
      <c r="G83" s="52"/>
      <c r="H83" s="52"/>
      <c r="I83" s="50"/>
      <c r="J83" s="50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0"/>
      <c r="B84" s="50"/>
      <c r="C84" s="50"/>
      <c r="D84" s="50"/>
      <c r="E84" s="50"/>
      <c r="F84" s="51"/>
      <c r="G84" s="52"/>
      <c r="H84" s="52"/>
      <c r="I84" s="50"/>
      <c r="J84" s="50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0"/>
      <c r="B85" s="50"/>
      <c r="C85" s="50"/>
      <c r="D85" s="50"/>
      <c r="E85" s="50"/>
      <c r="F85" s="51"/>
      <c r="G85" s="52"/>
      <c r="H85" s="52"/>
      <c r="I85" s="50"/>
      <c r="J85" s="50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0"/>
      <c r="B86" s="50"/>
      <c r="C86" s="50"/>
      <c r="D86" s="50"/>
      <c r="E86" s="50"/>
      <c r="F86" s="51"/>
      <c r="G86" s="52"/>
      <c r="H86" s="52"/>
      <c r="I86" s="50"/>
      <c r="J86" s="50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0"/>
      <c r="B87" s="50"/>
      <c r="C87" s="50"/>
      <c r="D87" s="50"/>
      <c r="E87" s="50"/>
      <c r="F87" s="51"/>
      <c r="G87" s="52"/>
      <c r="H87" s="52"/>
      <c r="I87" s="50"/>
      <c r="J87" s="50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0"/>
      <c r="B88" s="50"/>
      <c r="C88" s="50"/>
      <c r="D88" s="50"/>
      <c r="E88" s="50"/>
      <c r="F88" s="51"/>
      <c r="G88" s="52"/>
      <c r="H88" s="52"/>
      <c r="I88" s="50"/>
      <c r="J88" s="50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0"/>
      <c r="B89" s="50"/>
      <c r="C89" s="50"/>
      <c r="D89" s="50"/>
      <c r="E89" s="50"/>
      <c r="F89" s="51"/>
      <c r="G89" s="52"/>
      <c r="H89" s="52"/>
      <c r="I89" s="50"/>
      <c r="J89" s="50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0"/>
      <c r="B90" s="50"/>
      <c r="C90" s="50"/>
      <c r="D90" s="50"/>
      <c r="E90" s="50"/>
      <c r="F90" s="51"/>
      <c r="G90" s="52"/>
      <c r="H90" s="52"/>
      <c r="I90" s="50"/>
      <c r="J90" s="50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0"/>
      <c r="B91" s="50"/>
      <c r="C91" s="50"/>
      <c r="D91" s="50"/>
      <c r="E91" s="50"/>
      <c r="F91" s="51"/>
      <c r="G91" s="52"/>
      <c r="H91" s="52"/>
      <c r="I91" s="50"/>
      <c r="J91" s="50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0"/>
      <c r="B92" s="50"/>
      <c r="C92" s="50"/>
      <c r="D92" s="50"/>
      <c r="E92" s="50"/>
      <c r="F92" s="51"/>
      <c r="G92" s="52"/>
      <c r="H92" s="52"/>
      <c r="I92" s="50"/>
      <c r="J92" s="50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0"/>
      <c r="B93" s="50"/>
      <c r="C93" s="50"/>
      <c r="D93" s="50"/>
      <c r="E93" s="50"/>
      <c r="F93" s="51"/>
      <c r="G93" s="52"/>
      <c r="H93" s="52"/>
      <c r="I93" s="50"/>
      <c r="J93" s="50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0"/>
      <c r="B94" s="50"/>
      <c r="C94" s="50"/>
      <c r="D94" s="50"/>
      <c r="E94" s="50"/>
      <c r="F94" s="51"/>
      <c r="G94" s="52"/>
      <c r="H94" s="52"/>
      <c r="I94" s="50"/>
      <c r="J94" s="50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0"/>
      <c r="B95" s="50"/>
      <c r="C95" s="50"/>
      <c r="D95" s="50"/>
      <c r="E95" s="50"/>
      <c r="F95" s="51"/>
      <c r="G95" s="52"/>
      <c r="H95" s="52"/>
      <c r="I95" s="50"/>
      <c r="J95" s="50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0"/>
      <c r="B96" s="50"/>
      <c r="C96" s="50"/>
      <c r="D96" s="50"/>
      <c r="E96" s="50"/>
      <c r="F96" s="51"/>
      <c r="G96" s="52"/>
      <c r="H96" s="52"/>
      <c r="I96" s="50"/>
      <c r="J96" s="50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0"/>
      <c r="B97" s="50"/>
      <c r="C97" s="50"/>
      <c r="D97" s="50"/>
      <c r="E97" s="50"/>
      <c r="F97" s="51"/>
      <c r="G97" s="52"/>
      <c r="H97" s="52"/>
      <c r="I97" s="50"/>
      <c r="J97" s="50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0"/>
      <c r="B98" s="50"/>
      <c r="C98" s="50"/>
      <c r="D98" s="50"/>
      <c r="E98" s="50"/>
      <c r="F98" s="51"/>
      <c r="G98" s="52"/>
      <c r="H98" s="52"/>
      <c r="I98" s="50"/>
      <c r="J98" s="50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0"/>
      <c r="B99" s="50"/>
      <c r="C99" s="50"/>
      <c r="D99" s="50"/>
      <c r="E99" s="50"/>
      <c r="F99" s="51"/>
      <c r="G99" s="52"/>
      <c r="H99" s="52"/>
      <c r="I99" s="50"/>
      <c r="J99" s="50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0"/>
      <c r="B100" s="50"/>
      <c r="C100" s="50"/>
      <c r="D100" s="50"/>
      <c r="E100" s="50"/>
      <c r="F100" s="51"/>
      <c r="G100" s="52"/>
      <c r="H100" s="52"/>
      <c r="I100" s="50"/>
      <c r="J100" s="50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0"/>
      <c r="B101" s="50"/>
      <c r="C101" s="50"/>
      <c r="D101" s="50"/>
      <c r="E101" s="50"/>
      <c r="F101" s="51"/>
      <c r="G101" s="52"/>
      <c r="H101" s="52"/>
      <c r="I101" s="50"/>
      <c r="J101" s="50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0"/>
      <c r="B102" s="50"/>
      <c r="C102" s="50"/>
      <c r="D102" s="50"/>
      <c r="E102" s="50"/>
      <c r="F102" s="51"/>
      <c r="G102" s="52"/>
      <c r="H102" s="52"/>
      <c r="I102" s="50"/>
      <c r="J102" s="50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0"/>
      <c r="B103" s="50"/>
      <c r="C103" s="50"/>
      <c r="D103" s="50"/>
      <c r="E103" s="50"/>
      <c r="F103" s="51"/>
      <c r="G103" s="52"/>
      <c r="H103" s="52"/>
      <c r="I103" s="50"/>
      <c r="J103" s="50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0"/>
      <c r="B104" s="50"/>
      <c r="C104" s="50"/>
      <c r="D104" s="50"/>
      <c r="E104" s="50"/>
      <c r="F104" s="51"/>
      <c r="G104" s="52"/>
      <c r="H104" s="52"/>
      <c r="I104" s="50"/>
      <c r="J104" s="50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0"/>
      <c r="B105" s="50"/>
      <c r="C105" s="50"/>
      <c r="D105" s="50"/>
      <c r="E105" s="50"/>
      <c r="F105" s="51"/>
      <c r="G105" s="52"/>
      <c r="H105" s="52"/>
      <c r="I105" s="50"/>
      <c r="J105" s="50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0"/>
      <c r="B106" s="50"/>
      <c r="C106" s="50"/>
      <c r="D106" s="50"/>
      <c r="E106" s="50"/>
      <c r="F106" s="51"/>
      <c r="G106" s="52"/>
      <c r="H106" s="52"/>
      <c r="I106" s="50"/>
      <c r="J106" s="50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0"/>
      <c r="B107" s="50"/>
      <c r="C107" s="50"/>
      <c r="D107" s="50"/>
      <c r="E107" s="50"/>
      <c r="F107" s="51"/>
      <c r="G107" s="52"/>
      <c r="H107" s="52"/>
      <c r="I107" s="50"/>
      <c r="J107" s="50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0"/>
      <c r="B108" s="50"/>
      <c r="C108" s="50"/>
      <c r="D108" s="50"/>
      <c r="E108" s="50"/>
      <c r="F108" s="51"/>
      <c r="G108" s="52"/>
      <c r="H108" s="52"/>
      <c r="I108" s="50"/>
      <c r="J108" s="50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0"/>
      <c r="B109" s="50"/>
      <c r="C109" s="50"/>
      <c r="D109" s="50"/>
      <c r="E109" s="50"/>
      <c r="F109" s="51"/>
      <c r="G109" s="52"/>
      <c r="H109" s="52"/>
      <c r="I109" s="50"/>
      <c r="J109" s="50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0"/>
      <c r="B110" s="50"/>
      <c r="C110" s="50"/>
      <c r="D110" s="50"/>
      <c r="E110" s="50"/>
      <c r="F110" s="51"/>
      <c r="G110" s="52"/>
      <c r="H110" s="52"/>
      <c r="I110" s="50"/>
      <c r="J110" s="50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0"/>
      <c r="B111" s="50"/>
      <c r="C111" s="50"/>
      <c r="D111" s="50"/>
      <c r="E111" s="50"/>
      <c r="F111" s="51"/>
      <c r="G111" s="52"/>
      <c r="H111" s="52"/>
      <c r="I111" s="50"/>
      <c r="J111" s="50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0"/>
      <c r="B112" s="50"/>
      <c r="C112" s="50"/>
      <c r="D112" s="50"/>
      <c r="E112" s="50"/>
      <c r="F112" s="51"/>
      <c r="G112" s="52"/>
      <c r="H112" s="52"/>
      <c r="I112" s="50"/>
      <c r="J112" s="50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0"/>
      <c r="B113" s="50"/>
      <c r="C113" s="50"/>
      <c r="D113" s="50"/>
      <c r="E113" s="50"/>
      <c r="F113" s="51"/>
      <c r="G113" s="52"/>
      <c r="H113" s="52"/>
      <c r="I113" s="50"/>
      <c r="J113" s="50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0"/>
      <c r="B114" s="50"/>
      <c r="C114" s="50"/>
      <c r="D114" s="50"/>
      <c r="E114" s="50"/>
      <c r="F114" s="51"/>
      <c r="G114" s="52"/>
      <c r="H114" s="52"/>
      <c r="I114" s="50"/>
      <c r="J114" s="50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0"/>
      <c r="B115" s="50"/>
      <c r="C115" s="50"/>
      <c r="D115" s="50"/>
      <c r="E115" s="50"/>
      <c r="F115" s="51"/>
      <c r="G115" s="52"/>
      <c r="H115" s="52"/>
      <c r="I115" s="50"/>
      <c r="J115" s="50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53"/>
      <c r="B258" s="53"/>
      <c r="C258" s="53"/>
      <c r="D258" s="53"/>
      <c r="E258" s="53"/>
      <c r="F258" s="53"/>
      <c r="G258" s="54"/>
      <c r="H258" s="54"/>
      <c r="I258" s="53"/>
      <c r="J258" s="53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53"/>
      <c r="B259" s="53"/>
      <c r="C259" s="53"/>
      <c r="D259" s="53"/>
      <c r="E259" s="53"/>
      <c r="F259" s="53"/>
      <c r="G259" s="54"/>
      <c r="H259" s="54"/>
      <c r="I259" s="53"/>
      <c r="J259" s="53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53"/>
      <c r="B260" s="53"/>
      <c r="C260" s="53"/>
      <c r="D260" s="53"/>
      <c r="E260" s="53"/>
      <c r="F260" s="53"/>
      <c r="G260" s="54"/>
      <c r="H260" s="54"/>
      <c r="I260" s="53"/>
      <c r="J260" s="53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53"/>
      <c r="B261" s="53"/>
      <c r="C261" s="53"/>
      <c r="D261" s="53"/>
      <c r="E261" s="53"/>
      <c r="F261" s="53"/>
      <c r="G261" s="54"/>
      <c r="H261" s="54"/>
      <c r="I261" s="53"/>
      <c r="J261" s="53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53"/>
      <c r="B262" s="53"/>
      <c r="C262" s="53"/>
      <c r="D262" s="53"/>
      <c r="E262" s="53"/>
      <c r="F262" s="53"/>
      <c r="G262" s="54"/>
      <c r="H262" s="54"/>
      <c r="I262" s="53"/>
      <c r="J262" s="53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53"/>
      <c r="B263" s="53"/>
      <c r="C263" s="53"/>
      <c r="D263" s="53"/>
      <c r="E263" s="53"/>
      <c r="F263" s="53"/>
      <c r="G263" s="54"/>
      <c r="H263" s="54"/>
      <c r="I263" s="53"/>
      <c r="J263" s="53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53"/>
      <c r="B264" s="53"/>
      <c r="C264" s="53"/>
      <c r="D264" s="53"/>
      <c r="E264" s="53"/>
      <c r="F264" s="53"/>
      <c r="G264" s="54"/>
      <c r="H264" s="54"/>
      <c r="I264" s="53"/>
      <c r="J264" s="53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53"/>
      <c r="B265" s="53"/>
      <c r="C265" s="53"/>
      <c r="D265" s="53"/>
      <c r="E265" s="53"/>
      <c r="F265" s="53"/>
      <c r="G265" s="54"/>
      <c r="H265" s="54"/>
      <c r="I265" s="53"/>
      <c r="J265" s="53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53"/>
      <c r="B266" s="53"/>
      <c r="C266" s="53"/>
      <c r="D266" s="53"/>
      <c r="E266" s="53"/>
      <c r="F266" s="53"/>
      <c r="G266" s="54"/>
      <c r="H266" s="54"/>
      <c r="I266" s="53"/>
      <c r="J266" s="53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53"/>
      <c r="B267" s="53"/>
      <c r="C267" s="53"/>
      <c r="D267" s="53"/>
      <c r="E267" s="53"/>
      <c r="F267" s="53"/>
      <c r="G267" s="54"/>
      <c r="H267" s="54"/>
      <c r="I267" s="53"/>
      <c r="J267" s="53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53"/>
      <c r="B268" s="53"/>
      <c r="C268" s="53"/>
      <c r="D268" s="53"/>
      <c r="E268" s="53"/>
      <c r="F268" s="53"/>
      <c r="G268" s="54"/>
      <c r="H268" s="54"/>
      <c r="I268" s="53"/>
      <c r="J268" s="53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53"/>
      <c r="B269" s="53"/>
      <c r="C269" s="53"/>
      <c r="D269" s="53"/>
      <c r="E269" s="53"/>
      <c r="F269" s="53"/>
      <c r="G269" s="54"/>
      <c r="H269" s="54"/>
      <c r="I269" s="53"/>
      <c r="J269" s="53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53"/>
      <c r="B270" s="53"/>
      <c r="C270" s="53"/>
      <c r="D270" s="53"/>
      <c r="E270" s="53"/>
      <c r="F270" s="53"/>
      <c r="G270" s="54"/>
      <c r="H270" s="54"/>
      <c r="I270" s="53"/>
      <c r="J270" s="53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53"/>
      <c r="B271" s="53"/>
      <c r="C271" s="53"/>
      <c r="D271" s="53"/>
      <c r="E271" s="53"/>
      <c r="F271" s="53"/>
      <c r="G271" s="54"/>
      <c r="H271" s="54"/>
      <c r="I271" s="53"/>
      <c r="J271" s="53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53"/>
      <c r="B272" s="53"/>
      <c r="C272" s="53"/>
      <c r="D272" s="53"/>
      <c r="E272" s="53"/>
      <c r="F272" s="53"/>
      <c r="G272" s="54"/>
      <c r="H272" s="54"/>
      <c r="I272" s="53"/>
      <c r="J272" s="53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53"/>
      <c r="B273" s="53"/>
      <c r="C273" s="53"/>
      <c r="D273" s="53"/>
      <c r="E273" s="53"/>
      <c r="F273" s="53"/>
      <c r="G273" s="54"/>
      <c r="H273" s="54"/>
      <c r="I273" s="53"/>
      <c r="J273" s="53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53"/>
      <c r="B274" s="53"/>
      <c r="C274" s="53"/>
      <c r="D274" s="53"/>
      <c r="E274" s="53"/>
      <c r="F274" s="53"/>
      <c r="G274" s="54"/>
      <c r="H274" s="54"/>
      <c r="I274" s="53"/>
      <c r="J274" s="53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53"/>
      <c r="B275" s="53"/>
      <c r="C275" s="53"/>
      <c r="D275" s="53"/>
      <c r="E275" s="53"/>
      <c r="F275" s="53"/>
      <c r="G275" s="54"/>
      <c r="H275" s="54"/>
      <c r="I275" s="53"/>
      <c r="J275" s="53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53"/>
      <c r="B276" s="53"/>
      <c r="C276" s="53"/>
      <c r="D276" s="53"/>
      <c r="E276" s="53"/>
      <c r="F276" s="53"/>
      <c r="G276" s="54"/>
      <c r="H276" s="54"/>
      <c r="I276" s="53"/>
      <c r="J276" s="53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53"/>
      <c r="B277" s="53"/>
      <c r="C277" s="53"/>
      <c r="D277" s="53"/>
      <c r="E277" s="53"/>
      <c r="F277" s="53"/>
      <c r="G277" s="54"/>
      <c r="H277" s="54"/>
      <c r="I277" s="53"/>
      <c r="J277" s="53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53"/>
      <c r="B278" s="53"/>
      <c r="C278" s="53"/>
      <c r="D278" s="53"/>
      <c r="E278" s="53"/>
      <c r="F278" s="53"/>
      <c r="G278" s="54"/>
      <c r="H278" s="54"/>
      <c r="I278" s="53"/>
      <c r="J278" s="53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53"/>
      <c r="B279" s="53"/>
      <c r="C279" s="53"/>
      <c r="D279" s="53"/>
      <c r="E279" s="53"/>
      <c r="F279" s="53"/>
      <c r="G279" s="54"/>
      <c r="H279" s="54"/>
      <c r="I279" s="53"/>
      <c r="J279" s="53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53"/>
      <c r="B280" s="53"/>
      <c r="C280" s="53"/>
      <c r="D280" s="53"/>
      <c r="E280" s="53"/>
      <c r="F280" s="53"/>
      <c r="G280" s="54"/>
      <c r="H280" s="54"/>
      <c r="I280" s="53"/>
      <c r="J280" s="53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53"/>
      <c r="B281" s="53"/>
      <c r="C281" s="53"/>
      <c r="D281" s="53"/>
      <c r="E281" s="53"/>
      <c r="F281" s="53"/>
      <c r="G281" s="54"/>
      <c r="H281" s="54"/>
      <c r="I281" s="53"/>
      <c r="J281" s="53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53"/>
      <c r="B282" s="53"/>
      <c r="C282" s="53"/>
      <c r="D282" s="53"/>
      <c r="E282" s="53"/>
      <c r="F282" s="53"/>
      <c r="G282" s="54"/>
      <c r="H282" s="54"/>
      <c r="I282" s="53"/>
      <c r="J282" s="53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53"/>
      <c r="B283" s="53"/>
      <c r="C283" s="53"/>
      <c r="D283" s="53"/>
      <c r="E283" s="53"/>
      <c r="F283" s="53"/>
      <c r="G283" s="54"/>
      <c r="H283" s="54"/>
      <c r="I283" s="53"/>
      <c r="J283" s="53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53"/>
      <c r="B284" s="53"/>
      <c r="C284" s="53"/>
      <c r="D284" s="53"/>
      <c r="E284" s="53"/>
      <c r="F284" s="53"/>
      <c r="G284" s="54"/>
      <c r="H284" s="54"/>
      <c r="I284" s="53"/>
      <c r="J284" s="53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53"/>
      <c r="B285" s="53"/>
      <c r="C285" s="53"/>
      <c r="D285" s="53"/>
      <c r="E285" s="53"/>
      <c r="F285" s="53"/>
      <c r="G285" s="54"/>
      <c r="H285" s="54"/>
      <c r="I285" s="53"/>
      <c r="J285" s="53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53"/>
      <c r="B286" s="53"/>
      <c r="C286" s="53"/>
      <c r="D286" s="53"/>
      <c r="E286" s="53"/>
      <c r="F286" s="53"/>
      <c r="G286" s="54"/>
      <c r="H286" s="54"/>
      <c r="I286" s="53"/>
      <c r="J286" s="53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53"/>
      <c r="B287" s="53"/>
      <c r="C287" s="53"/>
      <c r="D287" s="53"/>
      <c r="E287" s="53"/>
      <c r="F287" s="53"/>
      <c r="G287" s="54"/>
      <c r="H287" s="54"/>
      <c r="I287" s="53"/>
      <c r="J287" s="53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53"/>
      <c r="B288" s="53"/>
      <c r="C288" s="53"/>
      <c r="D288" s="53"/>
      <c r="E288" s="53"/>
      <c r="F288" s="53"/>
      <c r="G288" s="54"/>
      <c r="H288" s="54"/>
      <c r="I288" s="53"/>
      <c r="J288" s="53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53"/>
      <c r="B289" s="53"/>
      <c r="C289" s="53"/>
      <c r="D289" s="53"/>
      <c r="E289" s="53"/>
      <c r="F289" s="53"/>
      <c r="G289" s="54"/>
      <c r="H289" s="54"/>
      <c r="I289" s="53"/>
      <c r="J289" s="53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53"/>
      <c r="B290" s="53"/>
      <c r="C290" s="53"/>
      <c r="D290" s="53"/>
      <c r="E290" s="53"/>
      <c r="F290" s="53"/>
      <c r="G290" s="54"/>
      <c r="H290" s="54"/>
      <c r="I290" s="53"/>
      <c r="J290" s="53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53"/>
      <c r="B291" s="53"/>
      <c r="C291" s="53"/>
      <c r="D291" s="53"/>
      <c r="E291" s="53"/>
      <c r="F291" s="53"/>
      <c r="G291" s="54"/>
      <c r="H291" s="54"/>
      <c r="I291" s="53"/>
      <c r="J291" s="53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53"/>
      <c r="B292" s="53"/>
      <c r="C292" s="53"/>
      <c r="D292" s="53"/>
      <c r="E292" s="53"/>
      <c r="F292" s="53"/>
      <c r="G292" s="54"/>
      <c r="H292" s="54"/>
      <c r="I292" s="53"/>
      <c r="J292" s="53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53"/>
      <c r="B293" s="53"/>
      <c r="C293" s="53"/>
      <c r="D293" s="53"/>
      <c r="E293" s="53"/>
      <c r="F293" s="53"/>
      <c r="G293" s="54"/>
      <c r="H293" s="54"/>
      <c r="I293" s="53"/>
      <c r="J293" s="53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53"/>
      <c r="B294" s="53"/>
      <c r="C294" s="53"/>
      <c r="D294" s="53"/>
      <c r="E294" s="53"/>
      <c r="F294" s="53"/>
      <c r="G294" s="54"/>
      <c r="H294" s="54"/>
      <c r="I294" s="53"/>
      <c r="J294" s="53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53"/>
      <c r="B295" s="53"/>
      <c r="C295" s="53"/>
      <c r="D295" s="53"/>
      <c r="E295" s="53"/>
      <c r="F295" s="53"/>
      <c r="G295" s="54"/>
      <c r="H295" s="54"/>
      <c r="I295" s="53"/>
      <c r="J295" s="53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53"/>
      <c r="B296" s="53"/>
      <c r="C296" s="53"/>
      <c r="D296" s="53"/>
      <c r="E296" s="53"/>
      <c r="F296" s="53"/>
      <c r="G296" s="54"/>
      <c r="H296" s="54"/>
      <c r="I296" s="53"/>
      <c r="J296" s="53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53"/>
      <c r="B297" s="53"/>
      <c r="C297" s="53"/>
      <c r="D297" s="53"/>
      <c r="E297" s="53"/>
      <c r="F297" s="53"/>
      <c r="G297" s="54"/>
      <c r="H297" s="54"/>
      <c r="I297" s="53"/>
      <c r="J297" s="53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53"/>
      <c r="B298" s="53"/>
      <c r="C298" s="53"/>
      <c r="D298" s="53"/>
      <c r="E298" s="53"/>
      <c r="F298" s="53"/>
      <c r="G298" s="54"/>
      <c r="H298" s="54"/>
      <c r="I298" s="53"/>
      <c r="J298" s="53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53"/>
      <c r="B299" s="53"/>
      <c r="C299" s="53"/>
      <c r="D299" s="53"/>
      <c r="E299" s="53"/>
      <c r="F299" s="53"/>
      <c r="G299" s="54"/>
      <c r="H299" s="54"/>
      <c r="I299" s="53"/>
      <c r="J299" s="53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53"/>
      <c r="B300" s="53"/>
      <c r="C300" s="53"/>
      <c r="D300" s="53"/>
      <c r="E300" s="53"/>
      <c r="F300" s="53"/>
      <c r="G300" s="54"/>
      <c r="H300" s="54"/>
      <c r="I300" s="53"/>
      <c r="J300" s="53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53"/>
      <c r="B301" s="53"/>
      <c r="C301" s="53"/>
      <c r="D301" s="53"/>
      <c r="E301" s="53"/>
      <c r="F301" s="53"/>
      <c r="G301" s="54"/>
      <c r="H301" s="54"/>
      <c r="I301" s="53"/>
      <c r="J301" s="53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53"/>
      <c r="B302" s="53"/>
      <c r="C302" s="53"/>
      <c r="D302" s="53"/>
      <c r="E302" s="53"/>
      <c r="F302" s="53"/>
      <c r="G302" s="54"/>
      <c r="H302" s="54"/>
      <c r="I302" s="53"/>
      <c r="J302" s="53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53"/>
      <c r="B303" s="53"/>
      <c r="C303" s="53"/>
      <c r="D303" s="53"/>
      <c r="E303" s="53"/>
      <c r="F303" s="53"/>
      <c r="G303" s="54"/>
      <c r="H303" s="54"/>
      <c r="I303" s="53"/>
      <c r="J303" s="53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53"/>
      <c r="B304" s="53"/>
      <c r="C304" s="53"/>
      <c r="D304" s="53"/>
      <c r="E304" s="53"/>
      <c r="F304" s="53"/>
      <c r="G304" s="54"/>
      <c r="H304" s="54"/>
      <c r="I304" s="53"/>
      <c r="J304" s="53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53"/>
      <c r="B305" s="53"/>
      <c r="C305" s="53"/>
      <c r="D305" s="53"/>
      <c r="E305" s="53"/>
      <c r="F305" s="53"/>
      <c r="G305" s="54"/>
      <c r="H305" s="54"/>
      <c r="I305" s="53"/>
      <c r="J305" s="53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53"/>
      <c r="B306" s="53"/>
      <c r="C306" s="53"/>
      <c r="D306" s="53"/>
      <c r="E306" s="53"/>
      <c r="F306" s="53"/>
      <c r="G306" s="54"/>
      <c r="H306" s="54"/>
      <c r="I306" s="53"/>
      <c r="J306" s="53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53"/>
      <c r="B307" s="53"/>
      <c r="C307" s="53"/>
      <c r="D307" s="53"/>
      <c r="E307" s="53"/>
      <c r="F307" s="53"/>
      <c r="G307" s="54"/>
      <c r="H307" s="54"/>
      <c r="I307" s="53"/>
      <c r="J307" s="53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53"/>
      <c r="B308" s="53"/>
      <c r="C308" s="53"/>
      <c r="D308" s="53"/>
      <c r="E308" s="53"/>
      <c r="F308" s="53"/>
      <c r="G308" s="54"/>
      <c r="H308" s="54"/>
      <c r="I308" s="53"/>
      <c r="J308" s="53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53"/>
      <c r="B309" s="53"/>
      <c r="C309" s="53"/>
      <c r="D309" s="53"/>
      <c r="E309" s="53"/>
      <c r="F309" s="53"/>
      <c r="G309" s="54"/>
      <c r="H309" s="54"/>
      <c r="I309" s="53"/>
      <c r="J309" s="53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53"/>
      <c r="B310" s="53"/>
      <c r="C310" s="53"/>
      <c r="D310" s="53"/>
      <c r="E310" s="53"/>
      <c r="F310" s="53"/>
      <c r="G310" s="54"/>
      <c r="H310" s="54"/>
      <c r="I310" s="53"/>
      <c r="J310" s="53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53"/>
      <c r="B311" s="53"/>
      <c r="C311" s="53"/>
      <c r="D311" s="53"/>
      <c r="E311" s="53"/>
      <c r="F311" s="53"/>
      <c r="G311" s="54"/>
      <c r="H311" s="54"/>
      <c r="I311" s="53"/>
      <c r="J311" s="53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53"/>
      <c r="B312" s="53"/>
      <c r="C312" s="53"/>
      <c r="D312" s="53"/>
      <c r="E312" s="53"/>
      <c r="F312" s="53"/>
      <c r="G312" s="54"/>
      <c r="H312" s="54"/>
      <c r="I312" s="53"/>
      <c r="J312" s="53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53"/>
      <c r="B313" s="53"/>
      <c r="C313" s="53"/>
      <c r="D313" s="53"/>
      <c r="E313" s="53"/>
      <c r="F313" s="53"/>
      <c r="G313" s="54"/>
      <c r="H313" s="54"/>
      <c r="I313" s="53"/>
      <c r="J313" s="53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53"/>
      <c r="B314" s="53"/>
      <c r="C314" s="53"/>
      <c r="D314" s="53"/>
      <c r="E314" s="53"/>
      <c r="F314" s="53"/>
      <c r="G314" s="54"/>
      <c r="H314" s="54"/>
      <c r="I314" s="53"/>
      <c r="J314" s="53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53"/>
      <c r="B315" s="53"/>
      <c r="C315" s="53"/>
      <c r="D315" s="53"/>
      <c r="E315" s="53"/>
      <c r="F315" s="53"/>
      <c r="G315" s="54"/>
      <c r="H315" s="54"/>
      <c r="I315" s="53"/>
      <c r="J315" s="53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55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55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55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55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55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55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55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55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55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55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55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55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55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55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55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55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55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55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55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55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55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55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55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55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55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55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55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55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55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55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55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55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55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55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55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55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55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55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55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55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55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55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55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55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55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55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55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55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55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55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55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55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55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55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55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55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55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55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55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55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55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55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55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55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55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55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55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55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55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55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55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55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55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55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55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55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55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55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55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55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55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55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55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55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55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55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55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55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55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55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55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55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55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55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55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55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55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55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55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55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55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55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55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55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55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55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55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55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55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55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55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55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55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55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55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55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55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55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55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55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55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55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55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55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55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55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55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55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55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55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55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55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55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55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55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55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55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55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55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55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55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55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55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55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55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55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55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55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55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55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55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55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55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55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55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55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55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55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55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55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55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55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55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55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55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55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55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55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55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55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55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55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55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55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55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55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55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55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55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55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55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55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55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55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55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55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55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55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55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55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55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55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55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55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55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55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55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55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55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55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55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55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55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55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55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55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55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55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55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55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55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55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55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55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55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55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55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55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55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55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55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55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55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55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55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55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55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55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55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55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55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55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55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55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55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55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55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55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55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55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55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55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55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55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55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55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55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55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55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55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55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55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55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55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55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55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55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55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55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55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55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55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55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55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55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55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55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55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55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55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55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55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55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55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55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55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55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55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55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55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55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55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55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55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55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55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55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55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55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55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55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55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55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55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55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55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55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55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55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55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55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55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55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55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55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55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55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55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55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55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55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55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55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55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55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55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55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55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55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55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55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55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55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55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55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55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55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55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55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55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55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55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55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55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55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55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55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55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55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55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55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55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55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55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55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55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55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55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55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55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55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55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55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55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55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55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55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55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55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55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55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55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55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55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55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55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55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55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55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55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55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55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55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55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55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55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55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55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55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55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55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55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55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55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55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55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55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55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55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55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55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55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55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55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55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55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55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55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55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55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55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55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55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55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55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55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55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55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55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55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55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55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55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55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55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55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55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55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55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55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55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55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55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55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55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55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55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55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55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55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55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55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55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55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55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55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55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55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55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55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55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55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55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55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55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55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55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55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55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55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55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55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55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55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55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55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55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55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55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55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55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55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55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55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55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55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55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55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55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55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55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55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55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55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55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55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55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55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55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55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55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55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55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55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55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55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55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55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55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55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55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55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55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55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55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55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55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55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55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55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55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55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55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55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55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55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55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55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55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55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55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55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55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55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55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55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55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55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55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55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55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55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55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55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55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55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55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55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55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55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55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55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55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55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55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55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55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55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55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55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55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55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55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55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55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55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55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55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55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55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55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55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55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55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55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55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55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55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55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55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55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55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55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55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55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55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55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55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55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55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55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55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55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55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55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55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55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55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55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55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55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55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55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55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55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55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55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55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55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55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55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55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55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55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55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55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55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55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55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55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55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55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55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55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55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55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55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55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55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55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55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55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55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55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55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55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55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55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55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55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55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55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55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55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55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55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55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  <row r="943" spans="1:35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55"/>
      <c r="J943" s="21"/>
      <c r="K943" s="21"/>
      <c r="L943" s="23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</row>
    <row r="944" spans="1:35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55"/>
      <c r="J944" s="21"/>
      <c r="K944" s="21"/>
      <c r="L944" s="23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</row>
    <row r="945" spans="1:35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55"/>
      <c r="J945" s="21"/>
      <c r="K945" s="21"/>
      <c r="L945" s="23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</row>
    <row r="946" spans="1:35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55"/>
      <c r="J946" s="21"/>
      <c r="K946" s="21"/>
      <c r="L946" s="23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</row>
    <row r="947" spans="1:35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55"/>
      <c r="J947" s="21"/>
      <c r="K947" s="21"/>
      <c r="L947" s="23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</row>
    <row r="948" spans="1:35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55"/>
      <c r="J948" s="21"/>
      <c r="K948" s="21"/>
      <c r="L948" s="23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</row>
    <row r="949" spans="1:35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55"/>
      <c r="J949" s="21"/>
      <c r="K949" s="21"/>
      <c r="L949" s="23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</row>
    <row r="950" spans="1:35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55"/>
      <c r="J950" s="21"/>
      <c r="K950" s="21"/>
      <c r="L950" s="23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</row>
    <row r="951" spans="1:35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55"/>
      <c r="J951" s="21"/>
      <c r="K951" s="21"/>
      <c r="L951" s="23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</row>
    <row r="952" spans="1:35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55"/>
      <c r="J952" s="21"/>
      <c r="K952" s="21"/>
      <c r="L952" s="23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</row>
    <row r="953" spans="1:35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55"/>
      <c r="J953" s="21"/>
      <c r="K953" s="21"/>
      <c r="L953" s="23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</row>
    <row r="954" spans="1:35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55"/>
      <c r="J954" s="21"/>
      <c r="K954" s="21"/>
      <c r="L954" s="23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</row>
    <row r="955" spans="1:35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55"/>
      <c r="J955" s="21"/>
      <c r="K955" s="21"/>
      <c r="L955" s="23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</row>
    <row r="956" spans="1:35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55"/>
      <c r="J956" s="21"/>
      <c r="K956" s="21"/>
      <c r="L956" s="23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</row>
    <row r="957" spans="1:35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55"/>
      <c r="J957" s="21"/>
      <c r="K957" s="21"/>
      <c r="L957" s="23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</row>
    <row r="958" spans="1:35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55"/>
      <c r="J958" s="21"/>
      <c r="K958" s="21"/>
      <c r="L958" s="23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</row>
    <row r="959" spans="1:35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55"/>
      <c r="J959" s="21"/>
      <c r="K959" s="21"/>
      <c r="L959" s="23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</row>
    <row r="960" spans="1:35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55"/>
      <c r="J960" s="21"/>
      <c r="K960" s="21"/>
      <c r="L960" s="23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</row>
    <row r="961" spans="1:35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55"/>
      <c r="J961" s="21"/>
      <c r="K961" s="21"/>
      <c r="L961" s="23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</row>
    <row r="962" spans="1:35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55"/>
      <c r="J962" s="21"/>
      <c r="K962" s="21"/>
      <c r="L962" s="23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</row>
    <row r="963" spans="1:35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55"/>
      <c r="J963" s="21"/>
      <c r="K963" s="21"/>
      <c r="L963" s="23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</row>
    <row r="964" spans="1:35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55"/>
      <c r="J964" s="21"/>
      <c r="K964" s="21"/>
      <c r="L964" s="23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</row>
    <row r="965" spans="1:35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55"/>
      <c r="J965" s="21"/>
      <c r="K965" s="21"/>
      <c r="L965" s="23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</row>
    <row r="966" spans="1:35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55"/>
      <c r="J966" s="21"/>
      <c r="K966" s="21"/>
      <c r="L966" s="23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</row>
    <row r="967" spans="1:35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55"/>
      <c r="J967" s="21"/>
      <c r="K967" s="21"/>
      <c r="L967" s="23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</row>
    <row r="968" spans="1:35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55"/>
      <c r="J968" s="21"/>
      <c r="K968" s="21"/>
      <c r="L968" s="23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</row>
    <row r="969" spans="1:35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55"/>
      <c r="J969" s="21"/>
      <c r="K969" s="21"/>
      <c r="L969" s="23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</row>
    <row r="970" spans="1:35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55"/>
      <c r="J970" s="21"/>
      <c r="K970" s="21"/>
      <c r="L970" s="23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</row>
    <row r="971" spans="1:35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55"/>
      <c r="J971" s="21"/>
      <c r="K971" s="21"/>
      <c r="L971" s="23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</row>
    <row r="972" spans="1:35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55"/>
      <c r="J972" s="21"/>
      <c r="K972" s="21"/>
      <c r="L972" s="23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</row>
    <row r="973" spans="1:35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55"/>
      <c r="J973" s="21"/>
      <c r="K973" s="21"/>
      <c r="L973" s="23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</row>
    <row r="974" spans="1:35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55"/>
      <c r="J974" s="21"/>
      <c r="K974" s="21"/>
      <c r="L974" s="23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</row>
    <row r="975" spans="1:35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55"/>
      <c r="J975" s="21"/>
      <c r="K975" s="21"/>
      <c r="L975" s="23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</row>
    <row r="976" spans="1:35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55"/>
      <c r="J976" s="21"/>
      <c r="K976" s="21"/>
      <c r="L976" s="23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</row>
    <row r="977" spans="1:35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55"/>
      <c r="J977" s="21"/>
      <c r="K977" s="21"/>
      <c r="L977" s="23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</row>
    <row r="978" spans="1:35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55"/>
      <c r="J978" s="21"/>
      <c r="K978" s="21"/>
      <c r="L978" s="23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</row>
    <row r="979" spans="1:35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55"/>
      <c r="J979" s="21"/>
      <c r="K979" s="21"/>
      <c r="L979" s="23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</row>
    <row r="980" spans="1:35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55"/>
      <c r="J980" s="21"/>
      <c r="K980" s="21"/>
      <c r="L980" s="23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</row>
    <row r="981" spans="1:35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55"/>
      <c r="J981" s="21"/>
      <c r="K981" s="21"/>
      <c r="L981" s="23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</row>
    <row r="982" spans="1:35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55"/>
      <c r="J982" s="21"/>
      <c r="K982" s="21"/>
      <c r="L982" s="23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</row>
    <row r="983" spans="1:35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55"/>
      <c r="J983" s="21"/>
      <c r="K983" s="21"/>
      <c r="L983" s="23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</row>
    <row r="984" spans="1:35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55"/>
      <c r="J984" s="21"/>
      <c r="K984" s="21"/>
      <c r="L984" s="23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</row>
    <row r="985" spans="1:35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55"/>
      <c r="J985" s="21"/>
      <c r="K985" s="21"/>
      <c r="L985" s="23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</row>
    <row r="986" spans="1:35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55"/>
      <c r="J986" s="21"/>
      <c r="K986" s="21"/>
      <c r="L986" s="23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</row>
    <row r="987" spans="1:35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55"/>
      <c r="J987" s="21"/>
      <c r="K987" s="21"/>
      <c r="L987" s="23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</row>
    <row r="988" spans="1:35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55"/>
      <c r="J988" s="21"/>
      <c r="K988" s="21"/>
      <c r="L988" s="23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</row>
    <row r="989" spans="1:35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55"/>
      <c r="J989" s="21"/>
      <c r="K989" s="21"/>
      <c r="L989" s="23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</row>
    <row r="990" spans="1:35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55"/>
      <c r="J990" s="21"/>
      <c r="K990" s="21"/>
      <c r="L990" s="23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</row>
    <row r="991" spans="1:35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55"/>
      <c r="J991" s="21"/>
      <c r="K991" s="21"/>
      <c r="L991" s="23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</row>
    <row r="992" spans="1:35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55"/>
      <c r="J992" s="21"/>
      <c r="K992" s="21"/>
      <c r="L992" s="23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</row>
    <row r="993" spans="1:35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55"/>
      <c r="J993" s="21"/>
      <c r="K993" s="21"/>
      <c r="L993" s="23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</row>
    <row r="994" spans="1:35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55"/>
      <c r="J994" s="21"/>
      <c r="K994" s="21"/>
      <c r="L994" s="23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</row>
    <row r="995" spans="1:35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55"/>
      <c r="J995" s="21"/>
      <c r="K995" s="21"/>
      <c r="L995" s="23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</row>
    <row r="996" spans="1:35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55"/>
      <c r="J996" s="21"/>
      <c r="K996" s="21"/>
      <c r="L996" s="23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</row>
    <row r="997" spans="1:35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55"/>
      <c r="J997" s="21"/>
      <c r="K997" s="21"/>
      <c r="L997" s="23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</row>
    <row r="998" spans="1:35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55"/>
      <c r="J998" s="21"/>
      <c r="K998" s="21"/>
      <c r="L998" s="23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</row>
    <row r="999" spans="1:35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55"/>
      <c r="J999" s="21"/>
      <c r="K999" s="21"/>
      <c r="L999" s="23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</row>
    <row r="1000" spans="1:35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55"/>
      <c r="J1000" s="21"/>
      <c r="K1000" s="21"/>
      <c r="L1000" s="23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</row>
  </sheetData>
  <mergeCells count="3">
    <mergeCell ref="A1:C1"/>
    <mergeCell ref="A2:C2"/>
    <mergeCell ref="A3:B3"/>
  </mergeCells>
  <conditionalFormatting sqref="A11:F402 I11:J402">
    <cfRule type="expression" dxfId="4" priority="1" stopIfTrue="1">
      <formula>$A11&lt;&gt;""</formula>
    </cfRule>
  </conditionalFormatting>
  <conditionalFormatting sqref="G11:G402">
    <cfRule type="cellIs" dxfId="3" priority="2" stopIfTrue="1" operator="greaterThan">
      <formula>$O$3</formula>
    </cfRule>
    <cfRule type="expression" dxfId="2" priority="3" stopIfTrue="1">
      <formula>$A11&lt;&gt;""</formula>
    </cfRule>
  </conditionalFormatting>
  <conditionalFormatting sqref="H11:H402">
    <cfRule type="expression" dxfId="1" priority="4" stopIfTrue="1">
      <formula>L11="N"</formula>
    </cfRule>
    <cfRule type="expression" dxfId="0" priority="5" stopIfTrue="1">
      <formula>$A11&lt;&gt;""</formula>
    </cfRule>
  </conditionalFormatting>
  <dataValidations count="2">
    <dataValidation type="list" allowBlank="1" showErrorMessage="1" sqref="E11:E996" xr:uid="{1D36EB3B-608F-4BF2-86A8-636DAEAACEC5}">
      <formula1>"Diaria,Semanal,Quincenal,Mensual,Bimensual,Trimestral,Semestral,Anual,Bianual,Trianual,Quinquenal,Decenal"</formula1>
    </dataValidation>
    <dataValidation type="list" allowBlank="1" showErrorMessage="1" sqref="D11:D996" xr:uid="{F1E2C43A-4CE9-40F8-936A-9070CA7A322B}">
      <formula1>"Interno,Externo"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topLeftCell="A9" workbookViewId="0">
      <selection activeCell="A11" sqref="A11:XFD35"/>
    </sheetView>
  </sheetViews>
  <sheetFormatPr baseColWidth="10" defaultColWidth="12.6640625" defaultRowHeight="15" customHeight="1" x14ac:dyDescent="0.25"/>
  <cols>
    <col min="1" max="1" width="85.44140625" customWidth="1"/>
    <col min="2" max="2" width="18.44140625" customWidth="1"/>
    <col min="3" max="3" width="18.21875" customWidth="1"/>
    <col min="4" max="4" width="17" customWidth="1"/>
    <col min="5" max="5" width="17.6640625" customWidth="1"/>
    <col min="6" max="6" width="18.109375" customWidth="1"/>
    <col min="7" max="7" width="15" customWidth="1"/>
    <col min="8" max="8" width="13.109375" customWidth="1"/>
    <col min="9" max="9" width="32.7773437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22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7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23.2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COUNTA(A11:A402)</f>
        <v>0</v>
      </c>
      <c r="K3" s="21"/>
      <c r="L3" s="30"/>
      <c r="M3" s="31">
        <v>30</v>
      </c>
      <c r="N3" s="32">
        <f>COUNTIF(L2:L402,"N")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COUNTA(H11:H402)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3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I7" s="36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3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3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22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30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0"/>
      <c r="B11" s="40"/>
      <c r="C11" s="40"/>
      <c r="D11" s="41"/>
      <c r="E11" s="41"/>
      <c r="F11" s="42"/>
      <c r="G11" s="43"/>
      <c r="H11" s="43"/>
      <c r="I11" s="41"/>
      <c r="J11" s="41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0"/>
      <c r="B12" s="40"/>
      <c r="C12" s="40"/>
      <c r="D12" s="41"/>
      <c r="E12" s="41"/>
      <c r="F12" s="42"/>
      <c r="G12" s="43"/>
      <c r="H12" s="43"/>
      <c r="I12" s="41"/>
      <c r="J12" s="41"/>
      <c r="K12" s="21"/>
      <c r="L12" s="23"/>
      <c r="M12" s="21"/>
      <c r="N12" s="44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0"/>
      <c r="B13" s="40"/>
      <c r="C13" s="40"/>
      <c r="D13" s="41"/>
      <c r="E13" s="41"/>
      <c r="F13" s="42"/>
      <c r="G13" s="43"/>
      <c r="H13" s="43"/>
      <c r="I13" s="41"/>
      <c r="J13" s="41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0"/>
      <c r="B14" s="40"/>
      <c r="C14" s="40"/>
      <c r="D14" s="41"/>
      <c r="E14" s="41"/>
      <c r="F14" s="42"/>
      <c r="G14" s="43"/>
      <c r="H14" s="43"/>
      <c r="I14" s="41"/>
      <c r="J14" s="41"/>
      <c r="K14" s="21"/>
      <c r="L14" s="23"/>
      <c r="M14" s="21"/>
      <c r="N14" s="21"/>
      <c r="O14" s="21"/>
      <c r="P14" s="21"/>
      <c r="Q14" s="21"/>
      <c r="R14" s="21"/>
      <c r="S14" s="44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0"/>
      <c r="B15" s="40"/>
      <c r="C15" s="40"/>
      <c r="D15" s="41"/>
      <c r="E15" s="41"/>
      <c r="F15" s="42"/>
      <c r="G15" s="43"/>
      <c r="H15" s="43"/>
      <c r="I15" s="41"/>
      <c r="J15" s="41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0"/>
      <c r="B16" s="40"/>
      <c r="C16" s="40"/>
      <c r="D16" s="41"/>
      <c r="E16" s="41"/>
      <c r="F16" s="42"/>
      <c r="G16" s="43"/>
      <c r="H16" s="43"/>
      <c r="I16" s="41"/>
      <c r="J16" s="41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0"/>
      <c r="B17" s="40"/>
      <c r="C17" s="40"/>
      <c r="D17" s="41"/>
      <c r="E17" s="41"/>
      <c r="F17" s="42"/>
      <c r="G17" s="43"/>
      <c r="H17" s="43"/>
      <c r="I17" s="41"/>
      <c r="J17" s="41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0"/>
      <c r="B18" s="40"/>
      <c r="C18" s="40"/>
      <c r="D18" s="41"/>
      <c r="E18" s="41"/>
      <c r="F18" s="42"/>
      <c r="G18" s="43"/>
      <c r="H18" s="43"/>
      <c r="I18" s="41"/>
      <c r="J18" s="41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0"/>
      <c r="B19" s="40"/>
      <c r="C19" s="40"/>
      <c r="D19" s="41"/>
      <c r="E19" s="41"/>
      <c r="F19" s="42"/>
      <c r="G19" s="43"/>
      <c r="H19" s="43"/>
      <c r="I19" s="41"/>
      <c r="J19" s="41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0"/>
      <c r="B20" s="40"/>
      <c r="C20" s="40"/>
      <c r="D20" s="41"/>
      <c r="E20" s="41"/>
      <c r="F20" s="42"/>
      <c r="G20" s="43"/>
      <c r="H20" s="43"/>
      <c r="I20" s="41"/>
      <c r="J20" s="41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0"/>
      <c r="B21" s="40"/>
      <c r="C21" s="40"/>
      <c r="D21" s="41"/>
      <c r="E21" s="41"/>
      <c r="F21" s="42"/>
      <c r="G21" s="43"/>
      <c r="H21" s="43"/>
      <c r="I21" s="41"/>
      <c r="J21" s="41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0"/>
      <c r="B22" s="40"/>
      <c r="C22" s="40"/>
      <c r="D22" s="41"/>
      <c r="E22" s="41"/>
      <c r="F22" s="42"/>
      <c r="G22" s="43"/>
      <c r="H22" s="43"/>
      <c r="I22" s="41"/>
      <c r="J22" s="41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0"/>
      <c r="B23" s="40"/>
      <c r="C23" s="40"/>
      <c r="D23" s="40"/>
      <c r="E23" s="40"/>
      <c r="F23" s="45"/>
      <c r="G23" s="46"/>
      <c r="H23" s="43"/>
      <c r="I23" s="40"/>
      <c r="J23" s="40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0"/>
      <c r="B24" s="40"/>
      <c r="C24" s="40"/>
      <c r="D24" s="40"/>
      <c r="E24" s="40"/>
      <c r="F24" s="45"/>
      <c r="G24" s="46"/>
      <c r="H24" s="43"/>
      <c r="I24" s="40"/>
      <c r="J24" s="40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0"/>
      <c r="B25" s="40"/>
      <c r="C25" s="40"/>
      <c r="D25" s="40"/>
      <c r="E25" s="40"/>
      <c r="F25" s="45"/>
      <c r="G25" s="46"/>
      <c r="H25" s="43"/>
      <c r="I25" s="40"/>
      <c r="J25" s="40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40"/>
      <c r="B26" s="40"/>
      <c r="C26" s="40"/>
      <c r="D26" s="40"/>
      <c r="E26" s="40"/>
      <c r="F26" s="45"/>
      <c r="G26" s="46"/>
      <c r="H26" s="43"/>
      <c r="I26" s="40"/>
      <c r="J26" s="40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40"/>
      <c r="B27" s="40"/>
      <c r="C27" s="40"/>
      <c r="D27" s="40"/>
      <c r="E27" s="40"/>
      <c r="F27" s="45"/>
      <c r="G27" s="46"/>
      <c r="H27" s="43"/>
      <c r="I27" s="40"/>
      <c r="J27" s="40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40"/>
      <c r="B28" s="40"/>
      <c r="C28" s="40"/>
      <c r="D28" s="40"/>
      <c r="E28" s="40"/>
      <c r="F28" s="45"/>
      <c r="G28" s="46"/>
      <c r="H28" s="43"/>
      <c r="I28" s="40"/>
      <c r="J28" s="40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40"/>
      <c r="B29" s="40"/>
      <c r="C29" s="40"/>
      <c r="D29" s="40"/>
      <c r="E29" s="40"/>
      <c r="F29" s="45"/>
      <c r="G29" s="46"/>
      <c r="H29" s="43"/>
      <c r="I29" s="40"/>
      <c r="J29" s="40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40"/>
      <c r="B30" s="40"/>
      <c r="C30" s="40"/>
      <c r="D30" s="40"/>
      <c r="E30" s="40"/>
      <c r="F30" s="45"/>
      <c r="G30" s="46"/>
      <c r="H30" s="43"/>
      <c r="I30" s="40"/>
      <c r="J30" s="40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40"/>
      <c r="B31" s="40"/>
      <c r="C31" s="40"/>
      <c r="D31" s="40"/>
      <c r="E31" s="40"/>
      <c r="F31" s="45"/>
      <c r="G31" s="46"/>
      <c r="H31" s="43"/>
      <c r="I31" s="40"/>
      <c r="J31" s="40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40"/>
      <c r="B32" s="40"/>
      <c r="C32" s="40"/>
      <c r="D32" s="40"/>
      <c r="E32" s="40"/>
      <c r="F32" s="45"/>
      <c r="G32" s="46"/>
      <c r="H32" s="43"/>
      <c r="I32" s="40"/>
      <c r="J32" s="40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47"/>
      <c r="B33" s="47"/>
      <c r="C33" s="47"/>
      <c r="D33" s="47"/>
      <c r="E33" s="47"/>
      <c r="F33" s="48"/>
      <c r="G33" s="49"/>
      <c r="H33" s="49"/>
      <c r="I33" s="47"/>
      <c r="J33" s="47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47"/>
      <c r="B34" s="47"/>
      <c r="C34" s="47"/>
      <c r="D34" s="47"/>
      <c r="E34" s="47"/>
      <c r="F34" s="48"/>
      <c r="G34" s="49"/>
      <c r="H34" s="49"/>
      <c r="I34" s="47"/>
      <c r="J34" s="47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47"/>
      <c r="B35" s="47"/>
      <c r="C35" s="47"/>
      <c r="D35" s="47"/>
      <c r="E35" s="47"/>
      <c r="F35" s="48"/>
      <c r="G35" s="49"/>
      <c r="H35" s="49"/>
      <c r="I35" s="47"/>
      <c r="J35" s="47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47"/>
      <c r="B36" s="47"/>
      <c r="C36" s="47"/>
      <c r="D36" s="47"/>
      <c r="E36" s="47"/>
      <c r="F36" s="48"/>
      <c r="G36" s="49"/>
      <c r="H36" s="49"/>
      <c r="I36" s="47"/>
      <c r="J36" s="47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47"/>
      <c r="B37" s="47"/>
      <c r="C37" s="47"/>
      <c r="D37" s="47"/>
      <c r="E37" s="47"/>
      <c r="F37" s="48"/>
      <c r="G37" s="49"/>
      <c r="H37" s="49"/>
      <c r="I37" s="47"/>
      <c r="J37" s="47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47"/>
      <c r="B38" s="47"/>
      <c r="C38" s="47"/>
      <c r="D38" s="47"/>
      <c r="E38" s="47"/>
      <c r="F38" s="48"/>
      <c r="G38" s="49"/>
      <c r="H38" s="49"/>
      <c r="I38" s="47"/>
      <c r="J38" s="47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47"/>
      <c r="B39" s="47"/>
      <c r="C39" s="47"/>
      <c r="D39" s="47"/>
      <c r="E39" s="47"/>
      <c r="F39" s="48"/>
      <c r="G39" s="49"/>
      <c r="H39" s="49"/>
      <c r="I39" s="47"/>
      <c r="J39" s="47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47"/>
      <c r="B40" s="47"/>
      <c r="C40" s="47"/>
      <c r="D40" s="47"/>
      <c r="E40" s="47"/>
      <c r="F40" s="48"/>
      <c r="G40" s="49"/>
      <c r="H40" s="49"/>
      <c r="I40" s="47"/>
      <c r="J40" s="47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47"/>
      <c r="B41" s="47"/>
      <c r="C41" s="47"/>
      <c r="D41" s="47"/>
      <c r="E41" s="47"/>
      <c r="F41" s="48"/>
      <c r="G41" s="49"/>
      <c r="H41" s="49"/>
      <c r="I41" s="47"/>
      <c r="J41" s="47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47"/>
      <c r="B42" s="47"/>
      <c r="C42" s="47"/>
      <c r="D42" s="47"/>
      <c r="E42" s="47"/>
      <c r="F42" s="48"/>
      <c r="G42" s="49"/>
      <c r="H42" s="49"/>
      <c r="I42" s="47"/>
      <c r="J42" s="47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47"/>
      <c r="B43" s="47"/>
      <c r="C43" s="47"/>
      <c r="D43" s="47"/>
      <c r="E43" s="47"/>
      <c r="F43" s="48"/>
      <c r="G43" s="49"/>
      <c r="H43" s="49"/>
      <c r="I43" s="47"/>
      <c r="J43" s="47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47"/>
      <c r="B44" s="47"/>
      <c r="C44" s="47"/>
      <c r="D44" s="47"/>
      <c r="E44" s="47"/>
      <c r="F44" s="48"/>
      <c r="G44" s="49"/>
      <c r="H44" s="49"/>
      <c r="I44" s="47"/>
      <c r="J44" s="47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47"/>
      <c r="B45" s="47"/>
      <c r="C45" s="47"/>
      <c r="D45" s="47"/>
      <c r="E45" s="47"/>
      <c r="F45" s="48"/>
      <c r="G45" s="49"/>
      <c r="H45" s="49"/>
      <c r="I45" s="47"/>
      <c r="J45" s="47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47"/>
      <c r="B46" s="47"/>
      <c r="C46" s="47"/>
      <c r="D46" s="47"/>
      <c r="E46" s="47"/>
      <c r="F46" s="48"/>
      <c r="G46" s="49"/>
      <c r="H46" s="49"/>
      <c r="I46" s="47"/>
      <c r="J46" s="47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47"/>
      <c r="B47" s="47"/>
      <c r="C47" s="47"/>
      <c r="D47" s="47"/>
      <c r="E47" s="47"/>
      <c r="F47" s="48"/>
      <c r="G47" s="49"/>
      <c r="H47" s="49"/>
      <c r="I47" s="47"/>
      <c r="J47" s="47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47"/>
      <c r="B48" s="47"/>
      <c r="C48" s="47"/>
      <c r="D48" s="47"/>
      <c r="E48" s="47"/>
      <c r="F48" s="48"/>
      <c r="G48" s="49"/>
      <c r="H48" s="49"/>
      <c r="I48" s="47"/>
      <c r="J48" s="47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47"/>
      <c r="B49" s="47"/>
      <c r="C49" s="47"/>
      <c r="D49" s="47"/>
      <c r="E49" s="47"/>
      <c r="F49" s="48"/>
      <c r="G49" s="49"/>
      <c r="H49" s="49"/>
      <c r="I49" s="47"/>
      <c r="J49" s="47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47"/>
      <c r="B50" s="47"/>
      <c r="C50" s="47"/>
      <c r="D50" s="47"/>
      <c r="E50" s="47"/>
      <c r="F50" s="48"/>
      <c r="G50" s="49"/>
      <c r="H50" s="49"/>
      <c r="I50" s="47"/>
      <c r="J50" s="47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47"/>
      <c r="B51" s="47"/>
      <c r="C51" s="47"/>
      <c r="D51" s="47"/>
      <c r="E51" s="47"/>
      <c r="F51" s="48"/>
      <c r="G51" s="49"/>
      <c r="H51" s="49"/>
      <c r="I51" s="47"/>
      <c r="J51" s="47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47"/>
      <c r="B52" s="47"/>
      <c r="C52" s="47"/>
      <c r="D52" s="47"/>
      <c r="E52" s="47"/>
      <c r="F52" s="48"/>
      <c r="G52" s="49"/>
      <c r="H52" s="49"/>
      <c r="I52" s="47"/>
      <c r="J52" s="47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47"/>
      <c r="B53" s="47"/>
      <c r="C53" s="47"/>
      <c r="D53" s="47"/>
      <c r="E53" s="47"/>
      <c r="F53" s="48"/>
      <c r="G53" s="49"/>
      <c r="H53" s="49"/>
      <c r="I53" s="47"/>
      <c r="J53" s="47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47"/>
      <c r="B54" s="47"/>
      <c r="C54" s="47"/>
      <c r="D54" s="47"/>
      <c r="E54" s="47"/>
      <c r="F54" s="48"/>
      <c r="G54" s="49"/>
      <c r="H54" s="49"/>
      <c r="I54" s="47"/>
      <c r="J54" s="47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47"/>
      <c r="B55" s="47"/>
      <c r="C55" s="47"/>
      <c r="D55" s="47"/>
      <c r="E55" s="47"/>
      <c r="F55" s="48"/>
      <c r="G55" s="49"/>
      <c r="H55" s="49"/>
      <c r="I55" s="47"/>
      <c r="J55" s="47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47"/>
      <c r="B56" s="47"/>
      <c r="C56" s="47"/>
      <c r="D56" s="47"/>
      <c r="E56" s="47"/>
      <c r="F56" s="48"/>
      <c r="G56" s="49"/>
      <c r="H56" s="49"/>
      <c r="I56" s="47"/>
      <c r="J56" s="47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47"/>
      <c r="B57" s="47"/>
      <c r="C57" s="47"/>
      <c r="D57" s="47"/>
      <c r="E57" s="47"/>
      <c r="F57" s="48"/>
      <c r="G57" s="49"/>
      <c r="H57" s="49"/>
      <c r="I57" s="47"/>
      <c r="J57" s="47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47"/>
      <c r="B58" s="47"/>
      <c r="C58" s="47"/>
      <c r="D58" s="47"/>
      <c r="E58" s="47"/>
      <c r="F58" s="48"/>
      <c r="G58" s="49"/>
      <c r="H58" s="49"/>
      <c r="I58" s="47"/>
      <c r="J58" s="47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47"/>
      <c r="B59" s="47"/>
      <c r="C59" s="47"/>
      <c r="D59" s="47"/>
      <c r="E59" s="47"/>
      <c r="F59" s="48"/>
      <c r="G59" s="49"/>
      <c r="H59" s="49"/>
      <c r="I59" s="47"/>
      <c r="J59" s="47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47"/>
      <c r="B60" s="47"/>
      <c r="C60" s="47"/>
      <c r="D60" s="47"/>
      <c r="E60" s="47"/>
      <c r="F60" s="48"/>
      <c r="G60" s="49"/>
      <c r="H60" s="49"/>
      <c r="I60" s="47"/>
      <c r="J60" s="47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47"/>
      <c r="B61" s="47"/>
      <c r="C61" s="47"/>
      <c r="D61" s="47"/>
      <c r="E61" s="47"/>
      <c r="F61" s="48"/>
      <c r="G61" s="49"/>
      <c r="H61" s="49"/>
      <c r="I61" s="47"/>
      <c r="J61" s="47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47"/>
      <c r="B62" s="47"/>
      <c r="C62" s="47"/>
      <c r="D62" s="47"/>
      <c r="E62" s="47"/>
      <c r="F62" s="48"/>
      <c r="G62" s="49"/>
      <c r="H62" s="49"/>
      <c r="I62" s="47"/>
      <c r="J62" s="47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47"/>
      <c r="B63" s="47"/>
      <c r="C63" s="47"/>
      <c r="D63" s="47"/>
      <c r="E63" s="47"/>
      <c r="F63" s="48"/>
      <c r="G63" s="49"/>
      <c r="H63" s="49"/>
      <c r="I63" s="47"/>
      <c r="J63" s="47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47"/>
      <c r="B64" s="47"/>
      <c r="C64" s="47"/>
      <c r="D64" s="47"/>
      <c r="E64" s="47"/>
      <c r="F64" s="48"/>
      <c r="G64" s="49"/>
      <c r="H64" s="49"/>
      <c r="I64" s="47"/>
      <c r="J64" s="47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47"/>
      <c r="B65" s="47"/>
      <c r="C65" s="47"/>
      <c r="D65" s="47"/>
      <c r="E65" s="47"/>
      <c r="F65" s="48"/>
      <c r="G65" s="49"/>
      <c r="H65" s="49"/>
      <c r="I65" s="47"/>
      <c r="J65" s="47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0"/>
      <c r="B66" s="50"/>
      <c r="C66" s="50"/>
      <c r="D66" s="50"/>
      <c r="E66" s="50"/>
      <c r="F66" s="51"/>
      <c r="G66" s="52"/>
      <c r="H66" s="52"/>
      <c r="I66" s="50"/>
      <c r="J66" s="50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0"/>
      <c r="B67" s="50"/>
      <c r="C67" s="50"/>
      <c r="D67" s="50"/>
      <c r="E67" s="50"/>
      <c r="F67" s="51"/>
      <c r="G67" s="52"/>
      <c r="H67" s="52"/>
      <c r="I67" s="50"/>
      <c r="J67" s="50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0"/>
      <c r="B68" s="50"/>
      <c r="C68" s="50"/>
      <c r="D68" s="50"/>
      <c r="E68" s="50"/>
      <c r="F68" s="51"/>
      <c r="G68" s="52"/>
      <c r="H68" s="52"/>
      <c r="I68" s="50"/>
      <c r="J68" s="50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0"/>
      <c r="B69" s="50"/>
      <c r="C69" s="50"/>
      <c r="D69" s="50"/>
      <c r="E69" s="50"/>
      <c r="F69" s="51"/>
      <c r="G69" s="52"/>
      <c r="H69" s="52"/>
      <c r="I69" s="50"/>
      <c r="J69" s="50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0"/>
      <c r="B70" s="50"/>
      <c r="C70" s="50"/>
      <c r="D70" s="50"/>
      <c r="E70" s="50"/>
      <c r="F70" s="51"/>
      <c r="G70" s="52"/>
      <c r="H70" s="52"/>
      <c r="I70" s="50"/>
      <c r="J70" s="50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0"/>
      <c r="B71" s="50"/>
      <c r="C71" s="50"/>
      <c r="D71" s="50"/>
      <c r="E71" s="50"/>
      <c r="F71" s="51"/>
      <c r="G71" s="52"/>
      <c r="H71" s="52"/>
      <c r="I71" s="50"/>
      <c r="J71" s="50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0"/>
      <c r="B72" s="50"/>
      <c r="C72" s="50"/>
      <c r="D72" s="50"/>
      <c r="E72" s="50"/>
      <c r="F72" s="51"/>
      <c r="G72" s="52"/>
      <c r="H72" s="52"/>
      <c r="I72" s="50"/>
      <c r="J72" s="50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0"/>
      <c r="B73" s="50"/>
      <c r="C73" s="50"/>
      <c r="D73" s="50"/>
      <c r="E73" s="50"/>
      <c r="F73" s="51"/>
      <c r="G73" s="52"/>
      <c r="H73" s="52"/>
      <c r="I73" s="50"/>
      <c r="J73" s="50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0"/>
      <c r="B74" s="50"/>
      <c r="C74" s="50"/>
      <c r="D74" s="50"/>
      <c r="E74" s="50"/>
      <c r="F74" s="51"/>
      <c r="G74" s="52"/>
      <c r="H74" s="52"/>
      <c r="I74" s="50"/>
      <c r="J74" s="50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0"/>
      <c r="B75" s="50"/>
      <c r="C75" s="50"/>
      <c r="D75" s="50"/>
      <c r="E75" s="50"/>
      <c r="F75" s="51"/>
      <c r="G75" s="52"/>
      <c r="H75" s="52"/>
      <c r="I75" s="50"/>
      <c r="J75" s="50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0"/>
      <c r="B76" s="50"/>
      <c r="C76" s="50"/>
      <c r="D76" s="50"/>
      <c r="E76" s="50"/>
      <c r="F76" s="51"/>
      <c r="G76" s="52"/>
      <c r="H76" s="52"/>
      <c r="I76" s="50"/>
      <c r="J76" s="50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0"/>
      <c r="B77" s="50"/>
      <c r="C77" s="50"/>
      <c r="D77" s="50"/>
      <c r="E77" s="50"/>
      <c r="F77" s="51"/>
      <c r="G77" s="52"/>
      <c r="H77" s="52"/>
      <c r="I77" s="50"/>
      <c r="J77" s="50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0"/>
      <c r="B78" s="50"/>
      <c r="C78" s="50"/>
      <c r="D78" s="50"/>
      <c r="E78" s="50"/>
      <c r="F78" s="51"/>
      <c r="G78" s="52"/>
      <c r="H78" s="52"/>
      <c r="I78" s="50"/>
      <c r="J78" s="50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0"/>
      <c r="B79" s="50"/>
      <c r="C79" s="50"/>
      <c r="D79" s="50"/>
      <c r="E79" s="50"/>
      <c r="F79" s="51"/>
      <c r="G79" s="52"/>
      <c r="H79" s="52"/>
      <c r="I79" s="50"/>
      <c r="J79" s="50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0"/>
      <c r="B80" s="50"/>
      <c r="C80" s="50"/>
      <c r="D80" s="50"/>
      <c r="E80" s="50"/>
      <c r="F80" s="51"/>
      <c r="G80" s="52"/>
      <c r="H80" s="52"/>
      <c r="I80" s="50"/>
      <c r="J80" s="50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0"/>
      <c r="B81" s="50"/>
      <c r="C81" s="50"/>
      <c r="D81" s="50"/>
      <c r="E81" s="50"/>
      <c r="F81" s="51"/>
      <c r="G81" s="52"/>
      <c r="H81" s="52"/>
      <c r="I81" s="50"/>
      <c r="J81" s="50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0"/>
      <c r="B82" s="50"/>
      <c r="C82" s="50"/>
      <c r="D82" s="50"/>
      <c r="E82" s="50"/>
      <c r="F82" s="51"/>
      <c r="G82" s="52"/>
      <c r="H82" s="52"/>
      <c r="I82" s="50"/>
      <c r="J82" s="50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0"/>
      <c r="B83" s="50"/>
      <c r="C83" s="50"/>
      <c r="D83" s="50"/>
      <c r="E83" s="50"/>
      <c r="F83" s="51"/>
      <c r="G83" s="52"/>
      <c r="H83" s="52"/>
      <c r="I83" s="50"/>
      <c r="J83" s="50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0"/>
      <c r="B84" s="50"/>
      <c r="C84" s="50"/>
      <c r="D84" s="50"/>
      <c r="E84" s="50"/>
      <c r="F84" s="51"/>
      <c r="G84" s="52"/>
      <c r="H84" s="52"/>
      <c r="I84" s="50"/>
      <c r="J84" s="50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0"/>
      <c r="B85" s="50"/>
      <c r="C85" s="50"/>
      <c r="D85" s="50"/>
      <c r="E85" s="50"/>
      <c r="F85" s="51"/>
      <c r="G85" s="52"/>
      <c r="H85" s="52"/>
      <c r="I85" s="50"/>
      <c r="J85" s="50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0"/>
      <c r="B86" s="50"/>
      <c r="C86" s="50"/>
      <c r="D86" s="50"/>
      <c r="E86" s="50"/>
      <c r="F86" s="51"/>
      <c r="G86" s="52"/>
      <c r="H86" s="52"/>
      <c r="I86" s="50"/>
      <c r="J86" s="50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0"/>
      <c r="B87" s="50"/>
      <c r="C87" s="50"/>
      <c r="D87" s="50"/>
      <c r="E87" s="50"/>
      <c r="F87" s="51"/>
      <c r="G87" s="52"/>
      <c r="H87" s="52"/>
      <c r="I87" s="50"/>
      <c r="J87" s="50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0"/>
      <c r="B88" s="50"/>
      <c r="C88" s="50"/>
      <c r="D88" s="50"/>
      <c r="E88" s="50"/>
      <c r="F88" s="51"/>
      <c r="G88" s="52"/>
      <c r="H88" s="52"/>
      <c r="I88" s="50"/>
      <c r="J88" s="50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0"/>
      <c r="B89" s="50"/>
      <c r="C89" s="50"/>
      <c r="D89" s="50"/>
      <c r="E89" s="50"/>
      <c r="F89" s="51"/>
      <c r="G89" s="52"/>
      <c r="H89" s="52"/>
      <c r="I89" s="50"/>
      <c r="J89" s="50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0"/>
      <c r="B90" s="50"/>
      <c r="C90" s="50"/>
      <c r="D90" s="50"/>
      <c r="E90" s="50"/>
      <c r="F90" s="51"/>
      <c r="G90" s="52"/>
      <c r="H90" s="52"/>
      <c r="I90" s="50"/>
      <c r="J90" s="50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0"/>
      <c r="B91" s="50"/>
      <c r="C91" s="50"/>
      <c r="D91" s="50"/>
      <c r="E91" s="50"/>
      <c r="F91" s="51"/>
      <c r="G91" s="52"/>
      <c r="H91" s="52"/>
      <c r="I91" s="50"/>
      <c r="J91" s="50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0"/>
      <c r="B92" s="50"/>
      <c r="C92" s="50"/>
      <c r="D92" s="50"/>
      <c r="E92" s="50"/>
      <c r="F92" s="51"/>
      <c r="G92" s="52"/>
      <c r="H92" s="52"/>
      <c r="I92" s="50"/>
      <c r="J92" s="50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0"/>
      <c r="B93" s="50"/>
      <c r="C93" s="50"/>
      <c r="D93" s="50"/>
      <c r="E93" s="50"/>
      <c r="F93" s="51"/>
      <c r="G93" s="52"/>
      <c r="H93" s="52"/>
      <c r="I93" s="50"/>
      <c r="J93" s="50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0"/>
      <c r="B94" s="50"/>
      <c r="C94" s="50"/>
      <c r="D94" s="50"/>
      <c r="E94" s="50"/>
      <c r="F94" s="51"/>
      <c r="G94" s="52"/>
      <c r="H94" s="52"/>
      <c r="I94" s="50"/>
      <c r="J94" s="50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0"/>
      <c r="B95" s="50"/>
      <c r="C95" s="50"/>
      <c r="D95" s="50"/>
      <c r="E95" s="50"/>
      <c r="F95" s="51"/>
      <c r="G95" s="52"/>
      <c r="H95" s="52"/>
      <c r="I95" s="50"/>
      <c r="J95" s="50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0"/>
      <c r="B96" s="50"/>
      <c r="C96" s="50"/>
      <c r="D96" s="50"/>
      <c r="E96" s="50"/>
      <c r="F96" s="51"/>
      <c r="G96" s="52"/>
      <c r="H96" s="52"/>
      <c r="I96" s="50"/>
      <c r="J96" s="50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0"/>
      <c r="B97" s="50"/>
      <c r="C97" s="50"/>
      <c r="D97" s="50"/>
      <c r="E97" s="50"/>
      <c r="F97" s="51"/>
      <c r="G97" s="52"/>
      <c r="H97" s="52"/>
      <c r="I97" s="50"/>
      <c r="J97" s="50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0"/>
      <c r="B98" s="50"/>
      <c r="C98" s="50"/>
      <c r="D98" s="50"/>
      <c r="E98" s="50"/>
      <c r="F98" s="51"/>
      <c r="G98" s="52"/>
      <c r="H98" s="52"/>
      <c r="I98" s="50"/>
      <c r="J98" s="50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0"/>
      <c r="B99" s="50"/>
      <c r="C99" s="50"/>
      <c r="D99" s="50"/>
      <c r="E99" s="50"/>
      <c r="F99" s="51"/>
      <c r="G99" s="52"/>
      <c r="H99" s="52"/>
      <c r="I99" s="50"/>
      <c r="J99" s="50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0"/>
      <c r="B100" s="50"/>
      <c r="C100" s="50"/>
      <c r="D100" s="50"/>
      <c r="E100" s="50"/>
      <c r="F100" s="51"/>
      <c r="G100" s="52"/>
      <c r="H100" s="52"/>
      <c r="I100" s="50"/>
      <c r="J100" s="50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0"/>
      <c r="B101" s="50"/>
      <c r="C101" s="50"/>
      <c r="D101" s="50"/>
      <c r="E101" s="50"/>
      <c r="F101" s="51"/>
      <c r="G101" s="52"/>
      <c r="H101" s="52"/>
      <c r="I101" s="50"/>
      <c r="J101" s="50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0"/>
      <c r="B102" s="50"/>
      <c r="C102" s="50"/>
      <c r="D102" s="50"/>
      <c r="E102" s="50"/>
      <c r="F102" s="51"/>
      <c r="G102" s="52"/>
      <c r="H102" s="52"/>
      <c r="I102" s="50"/>
      <c r="J102" s="50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0"/>
      <c r="B103" s="50"/>
      <c r="C103" s="50"/>
      <c r="D103" s="50"/>
      <c r="E103" s="50"/>
      <c r="F103" s="51"/>
      <c r="G103" s="52"/>
      <c r="H103" s="52"/>
      <c r="I103" s="50"/>
      <c r="J103" s="50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0"/>
      <c r="B104" s="50"/>
      <c r="C104" s="50"/>
      <c r="D104" s="50"/>
      <c r="E104" s="50"/>
      <c r="F104" s="51"/>
      <c r="G104" s="52"/>
      <c r="H104" s="52"/>
      <c r="I104" s="50"/>
      <c r="J104" s="50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0"/>
      <c r="B105" s="50"/>
      <c r="C105" s="50"/>
      <c r="D105" s="50"/>
      <c r="E105" s="50"/>
      <c r="F105" s="51"/>
      <c r="G105" s="52"/>
      <c r="H105" s="52"/>
      <c r="I105" s="50"/>
      <c r="J105" s="50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0"/>
      <c r="B106" s="50"/>
      <c r="C106" s="50"/>
      <c r="D106" s="50"/>
      <c r="E106" s="50"/>
      <c r="F106" s="51"/>
      <c r="G106" s="52"/>
      <c r="H106" s="52"/>
      <c r="I106" s="50"/>
      <c r="J106" s="50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0"/>
      <c r="B107" s="50"/>
      <c r="C107" s="50"/>
      <c r="D107" s="50"/>
      <c r="E107" s="50"/>
      <c r="F107" s="51"/>
      <c r="G107" s="52"/>
      <c r="H107" s="52"/>
      <c r="I107" s="50"/>
      <c r="J107" s="50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0"/>
      <c r="B108" s="50"/>
      <c r="C108" s="50"/>
      <c r="D108" s="50"/>
      <c r="E108" s="50"/>
      <c r="F108" s="51"/>
      <c r="G108" s="52"/>
      <c r="H108" s="52"/>
      <c r="I108" s="50"/>
      <c r="J108" s="50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0"/>
      <c r="B109" s="50"/>
      <c r="C109" s="50"/>
      <c r="D109" s="50"/>
      <c r="E109" s="50"/>
      <c r="F109" s="51"/>
      <c r="G109" s="52"/>
      <c r="H109" s="52"/>
      <c r="I109" s="50"/>
      <c r="J109" s="50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0"/>
      <c r="B110" s="50"/>
      <c r="C110" s="50"/>
      <c r="D110" s="50"/>
      <c r="E110" s="50"/>
      <c r="F110" s="51"/>
      <c r="G110" s="52"/>
      <c r="H110" s="52"/>
      <c r="I110" s="50"/>
      <c r="J110" s="50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0"/>
      <c r="B111" s="50"/>
      <c r="C111" s="50"/>
      <c r="D111" s="50"/>
      <c r="E111" s="50"/>
      <c r="F111" s="51"/>
      <c r="G111" s="52"/>
      <c r="H111" s="52"/>
      <c r="I111" s="50"/>
      <c r="J111" s="50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0"/>
      <c r="B112" s="50"/>
      <c r="C112" s="50"/>
      <c r="D112" s="50"/>
      <c r="E112" s="50"/>
      <c r="F112" s="51"/>
      <c r="G112" s="52"/>
      <c r="H112" s="52"/>
      <c r="I112" s="50"/>
      <c r="J112" s="50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0"/>
      <c r="B113" s="50"/>
      <c r="C113" s="50"/>
      <c r="D113" s="50"/>
      <c r="E113" s="50"/>
      <c r="F113" s="51"/>
      <c r="G113" s="52"/>
      <c r="H113" s="52"/>
      <c r="I113" s="50"/>
      <c r="J113" s="50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0"/>
      <c r="B114" s="50"/>
      <c r="C114" s="50"/>
      <c r="D114" s="50"/>
      <c r="E114" s="50"/>
      <c r="F114" s="51"/>
      <c r="G114" s="52"/>
      <c r="H114" s="52"/>
      <c r="I114" s="50"/>
      <c r="J114" s="50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0"/>
      <c r="B115" s="50"/>
      <c r="C115" s="50"/>
      <c r="D115" s="50"/>
      <c r="E115" s="50"/>
      <c r="F115" s="51"/>
      <c r="G115" s="52"/>
      <c r="H115" s="52"/>
      <c r="I115" s="50"/>
      <c r="J115" s="50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53"/>
      <c r="B258" s="53"/>
      <c r="C258" s="53"/>
      <c r="D258" s="53"/>
      <c r="E258" s="53"/>
      <c r="F258" s="53"/>
      <c r="G258" s="54"/>
      <c r="H258" s="54"/>
      <c r="I258" s="53"/>
      <c r="J258" s="53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53"/>
      <c r="B259" s="53"/>
      <c r="C259" s="53"/>
      <c r="D259" s="53"/>
      <c r="E259" s="53"/>
      <c r="F259" s="53"/>
      <c r="G259" s="54"/>
      <c r="H259" s="54"/>
      <c r="I259" s="53"/>
      <c r="J259" s="53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53"/>
      <c r="B260" s="53"/>
      <c r="C260" s="53"/>
      <c r="D260" s="53"/>
      <c r="E260" s="53"/>
      <c r="F260" s="53"/>
      <c r="G260" s="54"/>
      <c r="H260" s="54"/>
      <c r="I260" s="53"/>
      <c r="J260" s="53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53"/>
      <c r="B261" s="53"/>
      <c r="C261" s="53"/>
      <c r="D261" s="53"/>
      <c r="E261" s="53"/>
      <c r="F261" s="53"/>
      <c r="G261" s="54"/>
      <c r="H261" s="54"/>
      <c r="I261" s="53"/>
      <c r="J261" s="53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53"/>
      <c r="B262" s="53"/>
      <c r="C262" s="53"/>
      <c r="D262" s="53"/>
      <c r="E262" s="53"/>
      <c r="F262" s="53"/>
      <c r="G262" s="54"/>
      <c r="H262" s="54"/>
      <c r="I262" s="53"/>
      <c r="J262" s="53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53"/>
      <c r="B263" s="53"/>
      <c r="C263" s="53"/>
      <c r="D263" s="53"/>
      <c r="E263" s="53"/>
      <c r="F263" s="53"/>
      <c r="G263" s="54"/>
      <c r="H263" s="54"/>
      <c r="I263" s="53"/>
      <c r="J263" s="53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53"/>
      <c r="B264" s="53"/>
      <c r="C264" s="53"/>
      <c r="D264" s="53"/>
      <c r="E264" s="53"/>
      <c r="F264" s="53"/>
      <c r="G264" s="54"/>
      <c r="H264" s="54"/>
      <c r="I264" s="53"/>
      <c r="J264" s="53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53"/>
      <c r="B265" s="53"/>
      <c r="C265" s="53"/>
      <c r="D265" s="53"/>
      <c r="E265" s="53"/>
      <c r="F265" s="53"/>
      <c r="G265" s="54"/>
      <c r="H265" s="54"/>
      <c r="I265" s="53"/>
      <c r="J265" s="53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53"/>
      <c r="B266" s="53"/>
      <c r="C266" s="53"/>
      <c r="D266" s="53"/>
      <c r="E266" s="53"/>
      <c r="F266" s="53"/>
      <c r="G266" s="54"/>
      <c r="H266" s="54"/>
      <c r="I266" s="53"/>
      <c r="J266" s="53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53"/>
      <c r="B267" s="53"/>
      <c r="C267" s="53"/>
      <c r="D267" s="53"/>
      <c r="E267" s="53"/>
      <c r="F267" s="53"/>
      <c r="G267" s="54"/>
      <c r="H267" s="54"/>
      <c r="I267" s="53"/>
      <c r="J267" s="53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53"/>
      <c r="B268" s="53"/>
      <c r="C268" s="53"/>
      <c r="D268" s="53"/>
      <c r="E268" s="53"/>
      <c r="F268" s="53"/>
      <c r="G268" s="54"/>
      <c r="H268" s="54"/>
      <c r="I268" s="53"/>
      <c r="J268" s="53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53"/>
      <c r="B269" s="53"/>
      <c r="C269" s="53"/>
      <c r="D269" s="53"/>
      <c r="E269" s="53"/>
      <c r="F269" s="53"/>
      <c r="G269" s="54"/>
      <c r="H269" s="54"/>
      <c r="I269" s="53"/>
      <c r="J269" s="53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53"/>
      <c r="B270" s="53"/>
      <c r="C270" s="53"/>
      <c r="D270" s="53"/>
      <c r="E270" s="53"/>
      <c r="F270" s="53"/>
      <c r="G270" s="54"/>
      <c r="H270" s="54"/>
      <c r="I270" s="53"/>
      <c r="J270" s="53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53"/>
      <c r="B271" s="53"/>
      <c r="C271" s="53"/>
      <c r="D271" s="53"/>
      <c r="E271" s="53"/>
      <c r="F271" s="53"/>
      <c r="G271" s="54"/>
      <c r="H271" s="54"/>
      <c r="I271" s="53"/>
      <c r="J271" s="53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53"/>
      <c r="B272" s="53"/>
      <c r="C272" s="53"/>
      <c r="D272" s="53"/>
      <c r="E272" s="53"/>
      <c r="F272" s="53"/>
      <c r="G272" s="54"/>
      <c r="H272" s="54"/>
      <c r="I272" s="53"/>
      <c r="J272" s="53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53"/>
      <c r="B273" s="53"/>
      <c r="C273" s="53"/>
      <c r="D273" s="53"/>
      <c r="E273" s="53"/>
      <c r="F273" s="53"/>
      <c r="G273" s="54"/>
      <c r="H273" s="54"/>
      <c r="I273" s="53"/>
      <c r="J273" s="53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53"/>
      <c r="B274" s="53"/>
      <c r="C274" s="53"/>
      <c r="D274" s="53"/>
      <c r="E274" s="53"/>
      <c r="F274" s="53"/>
      <c r="G274" s="54"/>
      <c r="H274" s="54"/>
      <c r="I274" s="53"/>
      <c r="J274" s="53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53"/>
      <c r="B275" s="53"/>
      <c r="C275" s="53"/>
      <c r="D275" s="53"/>
      <c r="E275" s="53"/>
      <c r="F275" s="53"/>
      <c r="G275" s="54"/>
      <c r="H275" s="54"/>
      <c r="I275" s="53"/>
      <c r="J275" s="53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53"/>
      <c r="B276" s="53"/>
      <c r="C276" s="53"/>
      <c r="D276" s="53"/>
      <c r="E276" s="53"/>
      <c r="F276" s="53"/>
      <c r="G276" s="54"/>
      <c r="H276" s="54"/>
      <c r="I276" s="53"/>
      <c r="J276" s="53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53"/>
      <c r="B277" s="53"/>
      <c r="C277" s="53"/>
      <c r="D277" s="53"/>
      <c r="E277" s="53"/>
      <c r="F277" s="53"/>
      <c r="G277" s="54"/>
      <c r="H277" s="54"/>
      <c r="I277" s="53"/>
      <c r="J277" s="53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53"/>
      <c r="B278" s="53"/>
      <c r="C278" s="53"/>
      <c r="D278" s="53"/>
      <c r="E278" s="53"/>
      <c r="F278" s="53"/>
      <c r="G278" s="54"/>
      <c r="H278" s="54"/>
      <c r="I278" s="53"/>
      <c r="J278" s="53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53"/>
      <c r="B279" s="53"/>
      <c r="C279" s="53"/>
      <c r="D279" s="53"/>
      <c r="E279" s="53"/>
      <c r="F279" s="53"/>
      <c r="G279" s="54"/>
      <c r="H279" s="54"/>
      <c r="I279" s="53"/>
      <c r="J279" s="53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53"/>
      <c r="B280" s="53"/>
      <c r="C280" s="53"/>
      <c r="D280" s="53"/>
      <c r="E280" s="53"/>
      <c r="F280" s="53"/>
      <c r="G280" s="54"/>
      <c r="H280" s="54"/>
      <c r="I280" s="53"/>
      <c r="J280" s="53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53"/>
      <c r="B281" s="53"/>
      <c r="C281" s="53"/>
      <c r="D281" s="53"/>
      <c r="E281" s="53"/>
      <c r="F281" s="53"/>
      <c r="G281" s="54"/>
      <c r="H281" s="54"/>
      <c r="I281" s="53"/>
      <c r="J281" s="53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53"/>
      <c r="B282" s="53"/>
      <c r="C282" s="53"/>
      <c r="D282" s="53"/>
      <c r="E282" s="53"/>
      <c r="F282" s="53"/>
      <c r="G282" s="54"/>
      <c r="H282" s="54"/>
      <c r="I282" s="53"/>
      <c r="J282" s="53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53"/>
      <c r="B283" s="53"/>
      <c r="C283" s="53"/>
      <c r="D283" s="53"/>
      <c r="E283" s="53"/>
      <c r="F283" s="53"/>
      <c r="G283" s="54"/>
      <c r="H283" s="54"/>
      <c r="I283" s="53"/>
      <c r="J283" s="53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53"/>
      <c r="B284" s="53"/>
      <c r="C284" s="53"/>
      <c r="D284" s="53"/>
      <c r="E284" s="53"/>
      <c r="F284" s="53"/>
      <c r="G284" s="54"/>
      <c r="H284" s="54"/>
      <c r="I284" s="53"/>
      <c r="J284" s="53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53"/>
      <c r="B285" s="53"/>
      <c r="C285" s="53"/>
      <c r="D285" s="53"/>
      <c r="E285" s="53"/>
      <c r="F285" s="53"/>
      <c r="G285" s="54"/>
      <c r="H285" s="54"/>
      <c r="I285" s="53"/>
      <c r="J285" s="53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53"/>
      <c r="B286" s="53"/>
      <c r="C286" s="53"/>
      <c r="D286" s="53"/>
      <c r="E286" s="53"/>
      <c r="F286" s="53"/>
      <c r="G286" s="54"/>
      <c r="H286" s="54"/>
      <c r="I286" s="53"/>
      <c r="J286" s="53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53"/>
      <c r="B287" s="53"/>
      <c r="C287" s="53"/>
      <c r="D287" s="53"/>
      <c r="E287" s="53"/>
      <c r="F287" s="53"/>
      <c r="G287" s="54"/>
      <c r="H287" s="54"/>
      <c r="I287" s="53"/>
      <c r="J287" s="53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53"/>
      <c r="B288" s="53"/>
      <c r="C288" s="53"/>
      <c r="D288" s="53"/>
      <c r="E288" s="53"/>
      <c r="F288" s="53"/>
      <c r="G288" s="54"/>
      <c r="H288" s="54"/>
      <c r="I288" s="53"/>
      <c r="J288" s="53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53"/>
      <c r="B289" s="53"/>
      <c r="C289" s="53"/>
      <c r="D289" s="53"/>
      <c r="E289" s="53"/>
      <c r="F289" s="53"/>
      <c r="G289" s="54"/>
      <c r="H289" s="54"/>
      <c r="I289" s="53"/>
      <c r="J289" s="53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53"/>
      <c r="B290" s="53"/>
      <c r="C290" s="53"/>
      <c r="D290" s="53"/>
      <c r="E290" s="53"/>
      <c r="F290" s="53"/>
      <c r="G290" s="54"/>
      <c r="H290" s="54"/>
      <c r="I290" s="53"/>
      <c r="J290" s="53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53"/>
      <c r="B291" s="53"/>
      <c r="C291" s="53"/>
      <c r="D291" s="53"/>
      <c r="E291" s="53"/>
      <c r="F291" s="53"/>
      <c r="G291" s="54"/>
      <c r="H291" s="54"/>
      <c r="I291" s="53"/>
      <c r="J291" s="53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53"/>
      <c r="B292" s="53"/>
      <c r="C292" s="53"/>
      <c r="D292" s="53"/>
      <c r="E292" s="53"/>
      <c r="F292" s="53"/>
      <c r="G292" s="54"/>
      <c r="H292" s="54"/>
      <c r="I292" s="53"/>
      <c r="J292" s="53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53"/>
      <c r="B293" s="53"/>
      <c r="C293" s="53"/>
      <c r="D293" s="53"/>
      <c r="E293" s="53"/>
      <c r="F293" s="53"/>
      <c r="G293" s="54"/>
      <c r="H293" s="54"/>
      <c r="I293" s="53"/>
      <c r="J293" s="53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53"/>
      <c r="B294" s="53"/>
      <c r="C294" s="53"/>
      <c r="D294" s="53"/>
      <c r="E294" s="53"/>
      <c r="F294" s="53"/>
      <c r="G294" s="54"/>
      <c r="H294" s="54"/>
      <c r="I294" s="53"/>
      <c r="J294" s="53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53"/>
      <c r="B295" s="53"/>
      <c r="C295" s="53"/>
      <c r="D295" s="53"/>
      <c r="E295" s="53"/>
      <c r="F295" s="53"/>
      <c r="G295" s="54"/>
      <c r="H295" s="54"/>
      <c r="I295" s="53"/>
      <c r="J295" s="53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53"/>
      <c r="B296" s="53"/>
      <c r="C296" s="53"/>
      <c r="D296" s="53"/>
      <c r="E296" s="53"/>
      <c r="F296" s="53"/>
      <c r="G296" s="54"/>
      <c r="H296" s="54"/>
      <c r="I296" s="53"/>
      <c r="J296" s="53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53"/>
      <c r="B297" s="53"/>
      <c r="C297" s="53"/>
      <c r="D297" s="53"/>
      <c r="E297" s="53"/>
      <c r="F297" s="53"/>
      <c r="G297" s="54"/>
      <c r="H297" s="54"/>
      <c r="I297" s="53"/>
      <c r="J297" s="53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53"/>
      <c r="B298" s="53"/>
      <c r="C298" s="53"/>
      <c r="D298" s="53"/>
      <c r="E298" s="53"/>
      <c r="F298" s="53"/>
      <c r="G298" s="54"/>
      <c r="H298" s="54"/>
      <c r="I298" s="53"/>
      <c r="J298" s="53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53"/>
      <c r="B299" s="53"/>
      <c r="C299" s="53"/>
      <c r="D299" s="53"/>
      <c r="E299" s="53"/>
      <c r="F299" s="53"/>
      <c r="G299" s="54"/>
      <c r="H299" s="54"/>
      <c r="I299" s="53"/>
      <c r="J299" s="53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53"/>
      <c r="B300" s="53"/>
      <c r="C300" s="53"/>
      <c r="D300" s="53"/>
      <c r="E300" s="53"/>
      <c r="F300" s="53"/>
      <c r="G300" s="54"/>
      <c r="H300" s="54"/>
      <c r="I300" s="53"/>
      <c r="J300" s="53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53"/>
      <c r="B301" s="53"/>
      <c r="C301" s="53"/>
      <c r="D301" s="53"/>
      <c r="E301" s="53"/>
      <c r="F301" s="53"/>
      <c r="G301" s="54"/>
      <c r="H301" s="54"/>
      <c r="I301" s="53"/>
      <c r="J301" s="53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53"/>
      <c r="B302" s="53"/>
      <c r="C302" s="53"/>
      <c r="D302" s="53"/>
      <c r="E302" s="53"/>
      <c r="F302" s="53"/>
      <c r="G302" s="54"/>
      <c r="H302" s="54"/>
      <c r="I302" s="53"/>
      <c r="J302" s="53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53"/>
      <c r="B303" s="53"/>
      <c r="C303" s="53"/>
      <c r="D303" s="53"/>
      <c r="E303" s="53"/>
      <c r="F303" s="53"/>
      <c r="G303" s="54"/>
      <c r="H303" s="54"/>
      <c r="I303" s="53"/>
      <c r="J303" s="53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53"/>
      <c r="B304" s="53"/>
      <c r="C304" s="53"/>
      <c r="D304" s="53"/>
      <c r="E304" s="53"/>
      <c r="F304" s="53"/>
      <c r="G304" s="54"/>
      <c r="H304" s="54"/>
      <c r="I304" s="53"/>
      <c r="J304" s="53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53"/>
      <c r="B305" s="53"/>
      <c r="C305" s="53"/>
      <c r="D305" s="53"/>
      <c r="E305" s="53"/>
      <c r="F305" s="53"/>
      <c r="G305" s="54"/>
      <c r="H305" s="54"/>
      <c r="I305" s="53"/>
      <c r="J305" s="53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53"/>
      <c r="B306" s="53"/>
      <c r="C306" s="53"/>
      <c r="D306" s="53"/>
      <c r="E306" s="53"/>
      <c r="F306" s="53"/>
      <c r="G306" s="54"/>
      <c r="H306" s="54"/>
      <c r="I306" s="53"/>
      <c r="J306" s="53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53"/>
      <c r="B307" s="53"/>
      <c r="C307" s="53"/>
      <c r="D307" s="53"/>
      <c r="E307" s="53"/>
      <c r="F307" s="53"/>
      <c r="G307" s="54"/>
      <c r="H307" s="54"/>
      <c r="I307" s="53"/>
      <c r="J307" s="53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53"/>
      <c r="B308" s="53"/>
      <c r="C308" s="53"/>
      <c r="D308" s="53"/>
      <c r="E308" s="53"/>
      <c r="F308" s="53"/>
      <c r="G308" s="54"/>
      <c r="H308" s="54"/>
      <c r="I308" s="53"/>
      <c r="J308" s="53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53"/>
      <c r="B309" s="53"/>
      <c r="C309" s="53"/>
      <c r="D309" s="53"/>
      <c r="E309" s="53"/>
      <c r="F309" s="53"/>
      <c r="G309" s="54"/>
      <c r="H309" s="54"/>
      <c r="I309" s="53"/>
      <c r="J309" s="53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53"/>
      <c r="B310" s="53"/>
      <c r="C310" s="53"/>
      <c r="D310" s="53"/>
      <c r="E310" s="53"/>
      <c r="F310" s="53"/>
      <c r="G310" s="54"/>
      <c r="H310" s="54"/>
      <c r="I310" s="53"/>
      <c r="J310" s="53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53"/>
      <c r="B311" s="53"/>
      <c r="C311" s="53"/>
      <c r="D311" s="53"/>
      <c r="E311" s="53"/>
      <c r="F311" s="53"/>
      <c r="G311" s="54"/>
      <c r="H311" s="54"/>
      <c r="I311" s="53"/>
      <c r="J311" s="53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53"/>
      <c r="B312" s="53"/>
      <c r="C312" s="53"/>
      <c r="D312" s="53"/>
      <c r="E312" s="53"/>
      <c r="F312" s="53"/>
      <c r="G312" s="54"/>
      <c r="H312" s="54"/>
      <c r="I312" s="53"/>
      <c r="J312" s="53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53"/>
      <c r="B313" s="53"/>
      <c r="C313" s="53"/>
      <c r="D313" s="53"/>
      <c r="E313" s="53"/>
      <c r="F313" s="53"/>
      <c r="G313" s="54"/>
      <c r="H313" s="54"/>
      <c r="I313" s="53"/>
      <c r="J313" s="53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53"/>
      <c r="B314" s="53"/>
      <c r="C314" s="53"/>
      <c r="D314" s="53"/>
      <c r="E314" s="53"/>
      <c r="F314" s="53"/>
      <c r="G314" s="54"/>
      <c r="H314" s="54"/>
      <c r="I314" s="53"/>
      <c r="J314" s="53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53"/>
      <c r="B315" s="53"/>
      <c r="C315" s="53"/>
      <c r="D315" s="53"/>
      <c r="E315" s="53"/>
      <c r="F315" s="53"/>
      <c r="G315" s="54"/>
      <c r="H315" s="54"/>
      <c r="I315" s="53"/>
      <c r="J315" s="53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55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55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55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55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55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55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55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55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55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55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55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55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55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55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55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55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55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55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55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55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55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55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55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55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55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55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55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55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55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55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55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55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55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55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55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55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55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55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55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55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55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55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55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55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55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55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55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55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55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55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55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55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55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55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55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55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55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55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55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55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55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55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55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55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55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55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55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55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55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55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55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55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55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55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55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55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55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55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55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55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55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55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55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55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55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55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55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55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55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55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55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55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55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55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55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55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55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55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55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55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55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55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55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55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55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55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55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55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55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55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55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55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55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55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55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55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55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55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55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55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55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55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55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55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55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55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55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55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55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55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55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55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55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55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55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55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55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55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55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55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55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55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55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55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55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55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55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55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55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55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55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55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55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55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55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55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55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55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55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55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55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55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55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55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55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55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55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55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55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55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55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55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55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55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55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55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55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55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55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55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55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55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55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55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55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55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55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55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55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55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55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55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55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55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55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55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55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55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55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55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55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55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55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55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55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55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55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55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55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55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55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55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55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55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55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55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55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55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55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55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55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55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55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55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55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55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55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55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55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55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55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55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55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55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55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55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55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55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55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55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55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55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55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55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55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55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55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55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55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55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55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55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55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55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55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55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55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55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55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55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55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55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55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55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55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55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55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55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55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55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55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55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55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55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55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55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55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55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55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55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55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55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55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55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55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55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55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55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55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55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55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55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55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55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55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55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55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55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55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55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55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55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55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55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55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55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55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55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55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55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55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55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55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55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55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55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55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55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55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55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55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55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55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55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55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55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55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55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55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55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55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55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55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55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55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55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55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55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55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55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55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55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55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55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55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55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55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55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55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55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55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55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55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55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55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55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55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55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55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55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55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55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55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55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55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55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55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55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55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55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55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55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55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55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55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55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55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55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55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55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55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55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55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55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55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55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55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55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55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55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55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55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55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55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55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55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55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55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55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55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55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55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55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55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55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55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55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55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55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55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55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55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55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55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55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55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55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55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55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55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55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55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55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55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55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55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55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55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55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55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55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55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55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55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55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55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55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55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55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55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55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55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55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55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55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55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55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55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55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55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55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55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55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55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55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55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55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55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55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55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55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55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55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55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55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55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55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55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55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55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55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55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55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55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55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55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55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55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55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55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55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55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55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55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55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55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55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55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55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55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55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55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55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55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55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55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55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55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55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55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55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55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55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55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55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55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55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55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55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55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55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55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55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55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55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55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55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55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55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55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55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55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55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55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55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55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55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55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55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55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55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55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55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55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55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55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55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55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55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55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55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55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55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55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55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55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55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55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55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55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55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55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55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55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55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55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55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55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55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55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55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55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55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55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55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55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55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55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55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55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55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55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55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55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55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55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55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55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55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55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55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55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55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55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55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55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55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55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55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55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55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55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55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55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55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55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55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55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55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55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55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55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55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55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55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55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55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55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55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55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55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55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55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55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55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55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55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55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55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55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55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55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55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55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55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55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55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  <row r="943" spans="1:35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55"/>
      <c r="J943" s="21"/>
      <c r="K943" s="21"/>
      <c r="L943" s="23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</row>
    <row r="944" spans="1:35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55"/>
      <c r="J944" s="21"/>
      <c r="K944" s="21"/>
      <c r="L944" s="23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</row>
    <row r="945" spans="1:35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55"/>
      <c r="J945" s="21"/>
      <c r="K945" s="21"/>
      <c r="L945" s="23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</row>
    <row r="946" spans="1:35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55"/>
      <c r="J946" s="21"/>
      <c r="K946" s="21"/>
      <c r="L946" s="23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</row>
    <row r="947" spans="1:35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55"/>
      <c r="J947" s="21"/>
      <c r="K947" s="21"/>
      <c r="L947" s="23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</row>
    <row r="948" spans="1:35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55"/>
      <c r="J948" s="21"/>
      <c r="K948" s="21"/>
      <c r="L948" s="23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</row>
    <row r="949" spans="1:35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55"/>
      <c r="J949" s="21"/>
      <c r="K949" s="21"/>
      <c r="L949" s="23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</row>
    <row r="950" spans="1:35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55"/>
      <c r="J950" s="21"/>
      <c r="K950" s="21"/>
      <c r="L950" s="23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</row>
    <row r="951" spans="1:35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55"/>
      <c r="J951" s="21"/>
      <c r="K951" s="21"/>
      <c r="L951" s="23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</row>
    <row r="952" spans="1:35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55"/>
      <c r="J952" s="21"/>
      <c r="K952" s="21"/>
      <c r="L952" s="23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</row>
    <row r="953" spans="1:35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55"/>
      <c r="J953" s="21"/>
      <c r="K953" s="21"/>
      <c r="L953" s="23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</row>
    <row r="954" spans="1:35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55"/>
      <c r="J954" s="21"/>
      <c r="K954" s="21"/>
      <c r="L954" s="23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</row>
    <row r="955" spans="1:35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55"/>
      <c r="J955" s="21"/>
      <c r="K955" s="21"/>
      <c r="L955" s="23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</row>
    <row r="956" spans="1:35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55"/>
      <c r="J956" s="21"/>
      <c r="K956" s="21"/>
      <c r="L956" s="23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</row>
    <row r="957" spans="1:35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55"/>
      <c r="J957" s="21"/>
      <c r="K957" s="21"/>
      <c r="L957" s="23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</row>
    <row r="958" spans="1:35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55"/>
      <c r="J958" s="21"/>
      <c r="K958" s="21"/>
      <c r="L958" s="23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</row>
    <row r="959" spans="1:35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55"/>
      <c r="J959" s="21"/>
      <c r="K959" s="21"/>
      <c r="L959" s="23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</row>
    <row r="960" spans="1:35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55"/>
      <c r="J960" s="21"/>
      <c r="K960" s="21"/>
      <c r="L960" s="23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</row>
    <row r="961" spans="1:35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55"/>
      <c r="J961" s="21"/>
      <c r="K961" s="21"/>
      <c r="L961" s="23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</row>
    <row r="962" spans="1:35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55"/>
      <c r="J962" s="21"/>
      <c r="K962" s="21"/>
      <c r="L962" s="23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</row>
    <row r="963" spans="1:35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55"/>
      <c r="J963" s="21"/>
      <c r="K963" s="21"/>
      <c r="L963" s="23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</row>
    <row r="964" spans="1:35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55"/>
      <c r="J964" s="21"/>
      <c r="K964" s="21"/>
      <c r="L964" s="23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</row>
    <row r="965" spans="1:35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55"/>
      <c r="J965" s="21"/>
      <c r="K965" s="21"/>
      <c r="L965" s="23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</row>
    <row r="966" spans="1:35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55"/>
      <c r="J966" s="21"/>
      <c r="K966" s="21"/>
      <c r="L966" s="23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</row>
    <row r="967" spans="1:35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55"/>
      <c r="J967" s="21"/>
      <c r="K967" s="21"/>
      <c r="L967" s="23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</row>
    <row r="968" spans="1:35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55"/>
      <c r="J968" s="21"/>
      <c r="K968" s="21"/>
      <c r="L968" s="23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</row>
    <row r="969" spans="1:35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55"/>
      <c r="J969" s="21"/>
      <c r="K969" s="21"/>
      <c r="L969" s="23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</row>
    <row r="970" spans="1:35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55"/>
      <c r="J970" s="21"/>
      <c r="K970" s="21"/>
      <c r="L970" s="23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</row>
    <row r="971" spans="1:35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55"/>
      <c r="J971" s="21"/>
      <c r="K971" s="21"/>
      <c r="L971" s="23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</row>
    <row r="972" spans="1:35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55"/>
      <c r="J972" s="21"/>
      <c r="K972" s="21"/>
      <c r="L972" s="23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</row>
    <row r="973" spans="1:35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55"/>
      <c r="J973" s="21"/>
      <c r="K973" s="21"/>
      <c r="L973" s="23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</row>
    <row r="974" spans="1:35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55"/>
      <c r="J974" s="21"/>
      <c r="K974" s="21"/>
      <c r="L974" s="23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</row>
    <row r="975" spans="1:35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55"/>
      <c r="J975" s="21"/>
      <c r="K975" s="21"/>
      <c r="L975" s="23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</row>
    <row r="976" spans="1:35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55"/>
      <c r="J976" s="21"/>
      <c r="K976" s="21"/>
      <c r="L976" s="23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</row>
    <row r="977" spans="1:35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55"/>
      <c r="J977" s="21"/>
      <c r="K977" s="21"/>
      <c r="L977" s="23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</row>
    <row r="978" spans="1:35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55"/>
      <c r="J978" s="21"/>
      <c r="K978" s="21"/>
      <c r="L978" s="23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</row>
    <row r="979" spans="1:35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55"/>
      <c r="J979" s="21"/>
      <c r="K979" s="21"/>
      <c r="L979" s="23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</row>
    <row r="980" spans="1:35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55"/>
      <c r="J980" s="21"/>
      <c r="K980" s="21"/>
      <c r="L980" s="23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</row>
    <row r="981" spans="1:35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55"/>
      <c r="J981" s="21"/>
      <c r="K981" s="21"/>
      <c r="L981" s="23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</row>
    <row r="982" spans="1:35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55"/>
      <c r="J982" s="21"/>
      <c r="K982" s="21"/>
      <c r="L982" s="23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</row>
    <row r="983" spans="1:35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55"/>
      <c r="J983" s="21"/>
      <c r="K983" s="21"/>
      <c r="L983" s="23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</row>
    <row r="984" spans="1:35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55"/>
      <c r="J984" s="21"/>
      <c r="K984" s="21"/>
      <c r="L984" s="23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</row>
    <row r="985" spans="1:35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55"/>
      <c r="J985" s="21"/>
      <c r="K985" s="21"/>
      <c r="L985" s="23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</row>
    <row r="986" spans="1:35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55"/>
      <c r="J986" s="21"/>
      <c r="K986" s="21"/>
      <c r="L986" s="23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</row>
    <row r="987" spans="1:35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55"/>
      <c r="J987" s="21"/>
      <c r="K987" s="21"/>
      <c r="L987" s="23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</row>
    <row r="988" spans="1:35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55"/>
      <c r="J988" s="21"/>
      <c r="K988" s="21"/>
      <c r="L988" s="23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</row>
    <row r="989" spans="1:35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55"/>
      <c r="J989" s="21"/>
      <c r="K989" s="21"/>
      <c r="L989" s="23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</row>
    <row r="990" spans="1:35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55"/>
      <c r="J990" s="21"/>
      <c r="K990" s="21"/>
      <c r="L990" s="23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</row>
    <row r="991" spans="1:35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55"/>
      <c r="J991" s="21"/>
      <c r="K991" s="21"/>
      <c r="L991" s="23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</row>
    <row r="992" spans="1:35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55"/>
      <c r="J992" s="21"/>
      <c r="K992" s="21"/>
      <c r="L992" s="23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</row>
    <row r="993" spans="1:35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55"/>
      <c r="J993" s="21"/>
      <c r="K993" s="21"/>
      <c r="L993" s="23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</row>
    <row r="994" spans="1:35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55"/>
      <c r="J994" s="21"/>
      <c r="K994" s="21"/>
      <c r="L994" s="23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</row>
    <row r="995" spans="1:35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55"/>
      <c r="J995" s="21"/>
      <c r="K995" s="21"/>
      <c r="L995" s="23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</row>
    <row r="996" spans="1:35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55"/>
      <c r="J996" s="21"/>
      <c r="K996" s="21"/>
      <c r="L996" s="23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</row>
    <row r="997" spans="1:35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55"/>
      <c r="J997" s="21"/>
      <c r="K997" s="21"/>
      <c r="L997" s="23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</row>
    <row r="998" spans="1:35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55"/>
      <c r="J998" s="21"/>
      <c r="K998" s="21"/>
      <c r="L998" s="23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</row>
    <row r="999" spans="1:35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55"/>
      <c r="J999" s="21"/>
      <c r="K999" s="21"/>
      <c r="L999" s="23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</row>
    <row r="1000" spans="1:35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55"/>
      <c r="J1000" s="21"/>
      <c r="K1000" s="21"/>
      <c r="L1000" s="23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</row>
  </sheetData>
  <mergeCells count="3">
    <mergeCell ref="A1:C1"/>
    <mergeCell ref="A2:C2"/>
    <mergeCell ref="A3:B3"/>
  </mergeCells>
  <conditionalFormatting sqref="A11:F402 I11:J402">
    <cfRule type="expression" dxfId="19" priority="1" stopIfTrue="1">
      <formula>$A11&lt;&gt;""</formula>
    </cfRule>
  </conditionalFormatting>
  <conditionalFormatting sqref="G11:G402">
    <cfRule type="cellIs" dxfId="18" priority="2" stopIfTrue="1" operator="greaterThan">
      <formula>$O$3</formula>
    </cfRule>
    <cfRule type="expression" dxfId="17" priority="3" stopIfTrue="1">
      <formula>$A11&lt;&gt;""</formula>
    </cfRule>
  </conditionalFormatting>
  <conditionalFormatting sqref="H11:H402">
    <cfRule type="expression" dxfId="16" priority="4" stopIfTrue="1">
      <formula>L11="N"</formula>
    </cfRule>
    <cfRule type="expression" dxfId="15" priority="5" stopIfTrue="1">
      <formula>$A11&lt;&gt;""</formula>
    </cfRule>
  </conditionalFormatting>
  <dataValidations count="2">
    <dataValidation type="list" allowBlank="1" showErrorMessage="1" sqref="D11:D996" xr:uid="{00000000-0002-0000-0100-000000000000}">
      <formula1>"Interno,Externo"</formula1>
    </dataValidation>
    <dataValidation type="list" allowBlank="1" showErrorMessage="1" sqref="E11:E996" xr:uid="{00000000-0002-0000-0100-000001000000}">
      <formula1>"Diaria,Semanal,Quincenal,Mensual,Bimensual,Trimestral,Semestral,Anual,Bianual,Trianual,Quinquenal,Decenal"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975"/>
  <sheetViews>
    <sheetView showGridLines="0" topLeftCell="A10" workbookViewId="0">
      <selection activeCell="A11" sqref="A11:XFD26"/>
    </sheetView>
  </sheetViews>
  <sheetFormatPr baseColWidth="10" defaultColWidth="12.6640625" defaultRowHeight="15" customHeight="1" x14ac:dyDescent="0.25"/>
  <cols>
    <col min="1" max="1" width="85.44140625" customWidth="1"/>
    <col min="2" max="2" width="18.44140625" customWidth="1"/>
    <col min="3" max="3" width="17.109375" customWidth="1"/>
    <col min="4" max="4" width="17" customWidth="1"/>
    <col min="5" max="5" width="17.6640625" customWidth="1"/>
    <col min="6" max="6" width="18.109375" customWidth="1"/>
    <col min="7" max="7" width="15" customWidth="1"/>
    <col min="8" max="8" width="13.109375" customWidth="1"/>
    <col min="9" max="9" width="16.3320312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6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4.75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22.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COUNTA(A11:A377)</f>
        <v>0</v>
      </c>
      <c r="K3" s="21"/>
      <c r="L3" s="30"/>
      <c r="M3" s="31">
        <v>30</v>
      </c>
      <c r="N3" s="32">
        <f>COUNTIF(L2:L377,"N")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COUNTA(H11:H377)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2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2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2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33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34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7"/>
      <c r="B11" s="47"/>
      <c r="C11" s="47"/>
      <c r="D11" s="47"/>
      <c r="E11" s="47"/>
      <c r="F11" s="48"/>
      <c r="G11" s="49"/>
      <c r="H11" s="56"/>
      <c r="I11" s="47"/>
      <c r="J11" s="47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7"/>
      <c r="B12" s="47"/>
      <c r="C12" s="47"/>
      <c r="D12" s="47"/>
      <c r="E12" s="57"/>
      <c r="F12" s="48"/>
      <c r="G12" s="49"/>
      <c r="H12" s="56"/>
      <c r="I12" s="47"/>
      <c r="J12" s="47"/>
      <c r="K12" s="21"/>
      <c r="L12" s="23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7"/>
      <c r="B13" s="47"/>
      <c r="C13" s="47"/>
      <c r="D13" s="47"/>
      <c r="E13" s="47"/>
      <c r="F13" s="48"/>
      <c r="G13" s="49"/>
      <c r="H13" s="56"/>
      <c r="I13" s="47"/>
      <c r="J13" s="47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7"/>
      <c r="B14" s="47"/>
      <c r="C14" s="47"/>
      <c r="D14" s="57"/>
      <c r="E14" s="57"/>
      <c r="F14" s="48"/>
      <c r="G14" s="49"/>
      <c r="H14" s="56"/>
      <c r="I14" s="47"/>
      <c r="J14" s="47"/>
      <c r="K14" s="21"/>
      <c r="L14" s="23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7"/>
      <c r="B15" s="47"/>
      <c r="C15" s="47"/>
      <c r="D15" s="47"/>
      <c r="E15" s="47"/>
      <c r="F15" s="48"/>
      <c r="G15" s="49"/>
      <c r="H15" s="58"/>
      <c r="I15" s="47"/>
      <c r="J15" s="47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7"/>
      <c r="B16" s="47"/>
      <c r="C16" s="47"/>
      <c r="D16" s="57"/>
      <c r="E16" s="57"/>
      <c r="F16" s="48"/>
      <c r="G16" s="49"/>
      <c r="H16" s="59"/>
      <c r="I16" s="47"/>
      <c r="J16" s="47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7"/>
      <c r="B17" s="47"/>
      <c r="C17" s="47"/>
      <c r="D17" s="57"/>
      <c r="E17" s="57"/>
      <c r="F17" s="48"/>
      <c r="G17" s="49"/>
      <c r="H17" s="59"/>
      <c r="I17" s="47"/>
      <c r="J17" s="47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7"/>
      <c r="B18" s="47"/>
      <c r="C18" s="47"/>
      <c r="D18" s="57"/>
      <c r="E18" s="57"/>
      <c r="F18" s="48"/>
      <c r="G18" s="49"/>
      <c r="H18" s="59"/>
      <c r="I18" s="47"/>
      <c r="J18" s="47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7"/>
      <c r="B19" s="47"/>
      <c r="C19" s="47"/>
      <c r="D19" s="57"/>
      <c r="E19" s="57"/>
      <c r="F19" s="48"/>
      <c r="G19" s="49"/>
      <c r="H19" s="59"/>
      <c r="I19" s="47"/>
      <c r="J19" s="47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7"/>
      <c r="B20" s="47"/>
      <c r="C20" s="47"/>
      <c r="D20" s="47"/>
      <c r="E20" s="47"/>
      <c r="F20" s="48"/>
      <c r="G20" s="49"/>
      <c r="H20" s="59"/>
      <c r="I20" s="47"/>
      <c r="J20" s="47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7"/>
      <c r="B21" s="47"/>
      <c r="C21" s="47"/>
      <c r="D21" s="47"/>
      <c r="E21" s="47"/>
      <c r="F21" s="48"/>
      <c r="G21" s="49"/>
      <c r="H21" s="59"/>
      <c r="I21" s="47"/>
      <c r="J21" s="47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7"/>
      <c r="B22" s="47"/>
      <c r="C22" s="47"/>
      <c r="D22" s="57"/>
      <c r="E22" s="57"/>
      <c r="F22" s="48"/>
      <c r="G22" s="49"/>
      <c r="H22" s="59"/>
      <c r="I22" s="47"/>
      <c r="J22" s="47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7"/>
      <c r="B23" s="47"/>
      <c r="C23" s="47"/>
      <c r="D23" s="57"/>
      <c r="E23" s="57"/>
      <c r="F23" s="48"/>
      <c r="G23" s="49"/>
      <c r="H23" s="59"/>
      <c r="I23" s="47"/>
      <c r="J23" s="47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7"/>
      <c r="B24" s="47"/>
      <c r="C24" s="47"/>
      <c r="D24" s="57"/>
      <c r="E24" s="57"/>
      <c r="F24" s="48"/>
      <c r="G24" s="49"/>
      <c r="H24" s="59"/>
      <c r="I24" s="47"/>
      <c r="J24" s="47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7"/>
      <c r="B25" s="47"/>
      <c r="C25" s="47"/>
      <c r="D25" s="57"/>
      <c r="E25" s="57"/>
      <c r="F25" s="48"/>
      <c r="G25" s="49"/>
      <c r="H25" s="59"/>
      <c r="I25" s="47"/>
      <c r="J25" s="47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47"/>
      <c r="B26" s="47"/>
      <c r="C26" s="47"/>
      <c r="D26" s="57"/>
      <c r="E26" s="57"/>
      <c r="F26" s="48"/>
      <c r="G26" s="49"/>
      <c r="H26" s="59"/>
      <c r="I26" s="47"/>
      <c r="J26" s="47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47"/>
      <c r="B27" s="47"/>
      <c r="C27" s="47"/>
      <c r="D27" s="47"/>
      <c r="E27" s="47"/>
      <c r="F27" s="48"/>
      <c r="G27" s="49"/>
      <c r="H27" s="49"/>
      <c r="I27" s="47"/>
      <c r="J27" s="47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47"/>
      <c r="B28" s="47"/>
      <c r="C28" s="47"/>
      <c r="D28" s="47"/>
      <c r="E28" s="47"/>
      <c r="F28" s="48"/>
      <c r="G28" s="49"/>
      <c r="H28" s="49"/>
      <c r="I28" s="47"/>
      <c r="J28" s="47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47"/>
      <c r="B29" s="47"/>
      <c r="C29" s="47"/>
      <c r="D29" s="47"/>
      <c r="E29" s="47"/>
      <c r="F29" s="48"/>
      <c r="G29" s="49"/>
      <c r="H29" s="49"/>
      <c r="I29" s="47"/>
      <c r="J29" s="47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47"/>
      <c r="B30" s="47"/>
      <c r="C30" s="47"/>
      <c r="D30" s="47"/>
      <c r="E30" s="47"/>
      <c r="F30" s="48"/>
      <c r="G30" s="49"/>
      <c r="H30" s="49"/>
      <c r="I30" s="47"/>
      <c r="J30" s="47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47"/>
      <c r="B31" s="47"/>
      <c r="C31" s="47"/>
      <c r="D31" s="47"/>
      <c r="E31" s="47"/>
      <c r="F31" s="48"/>
      <c r="G31" s="49"/>
      <c r="H31" s="49"/>
      <c r="I31" s="47"/>
      <c r="J31" s="47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47"/>
      <c r="B32" s="47"/>
      <c r="C32" s="47"/>
      <c r="D32" s="47"/>
      <c r="E32" s="47"/>
      <c r="F32" s="48"/>
      <c r="G32" s="49"/>
      <c r="H32" s="49"/>
      <c r="I32" s="47"/>
      <c r="J32" s="47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47"/>
      <c r="B33" s="47"/>
      <c r="C33" s="47"/>
      <c r="D33" s="47"/>
      <c r="E33" s="47"/>
      <c r="F33" s="48"/>
      <c r="G33" s="49"/>
      <c r="H33" s="49"/>
      <c r="I33" s="47"/>
      <c r="J33" s="47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47"/>
      <c r="B34" s="47"/>
      <c r="C34" s="47"/>
      <c r="D34" s="47"/>
      <c r="E34" s="47"/>
      <c r="F34" s="48"/>
      <c r="G34" s="49"/>
      <c r="H34" s="49"/>
      <c r="I34" s="47"/>
      <c r="J34" s="47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47"/>
      <c r="B35" s="47"/>
      <c r="C35" s="47"/>
      <c r="D35" s="47"/>
      <c r="E35" s="47"/>
      <c r="F35" s="48"/>
      <c r="G35" s="49"/>
      <c r="H35" s="49"/>
      <c r="I35" s="47"/>
      <c r="J35" s="47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47"/>
      <c r="B36" s="47"/>
      <c r="C36" s="47"/>
      <c r="D36" s="47"/>
      <c r="E36" s="47"/>
      <c r="F36" s="48"/>
      <c r="G36" s="49"/>
      <c r="H36" s="49"/>
      <c r="I36" s="47"/>
      <c r="J36" s="47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47"/>
      <c r="B37" s="47"/>
      <c r="C37" s="47"/>
      <c r="D37" s="47"/>
      <c r="E37" s="47"/>
      <c r="F37" s="48"/>
      <c r="G37" s="49"/>
      <c r="H37" s="49"/>
      <c r="I37" s="47"/>
      <c r="J37" s="47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47"/>
      <c r="B38" s="47"/>
      <c r="C38" s="47"/>
      <c r="D38" s="47"/>
      <c r="E38" s="47"/>
      <c r="F38" s="48"/>
      <c r="G38" s="49"/>
      <c r="H38" s="49"/>
      <c r="I38" s="47"/>
      <c r="J38" s="47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47"/>
      <c r="B39" s="47"/>
      <c r="C39" s="47"/>
      <c r="D39" s="47"/>
      <c r="E39" s="47"/>
      <c r="F39" s="48"/>
      <c r="G39" s="49"/>
      <c r="H39" s="49"/>
      <c r="I39" s="47"/>
      <c r="J39" s="47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47"/>
      <c r="B40" s="47"/>
      <c r="C40" s="47"/>
      <c r="D40" s="47"/>
      <c r="E40" s="47"/>
      <c r="F40" s="48"/>
      <c r="G40" s="49"/>
      <c r="H40" s="49"/>
      <c r="I40" s="47"/>
      <c r="J40" s="47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50"/>
      <c r="B41" s="50"/>
      <c r="C41" s="50"/>
      <c r="D41" s="50"/>
      <c r="E41" s="50"/>
      <c r="F41" s="51"/>
      <c r="G41" s="52"/>
      <c r="H41" s="52"/>
      <c r="I41" s="50"/>
      <c r="J41" s="50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50"/>
      <c r="B42" s="50"/>
      <c r="C42" s="50"/>
      <c r="D42" s="50"/>
      <c r="E42" s="50"/>
      <c r="F42" s="51"/>
      <c r="G42" s="52"/>
      <c r="H42" s="52"/>
      <c r="I42" s="50"/>
      <c r="J42" s="50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50"/>
      <c r="B43" s="50"/>
      <c r="C43" s="50"/>
      <c r="D43" s="50"/>
      <c r="E43" s="50"/>
      <c r="F43" s="51"/>
      <c r="G43" s="52"/>
      <c r="H43" s="52"/>
      <c r="I43" s="50"/>
      <c r="J43" s="50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50"/>
      <c r="B44" s="50"/>
      <c r="C44" s="50"/>
      <c r="D44" s="50"/>
      <c r="E44" s="50"/>
      <c r="F44" s="51"/>
      <c r="G44" s="52"/>
      <c r="H44" s="52"/>
      <c r="I44" s="50"/>
      <c r="J44" s="50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50"/>
      <c r="B45" s="50"/>
      <c r="C45" s="50"/>
      <c r="D45" s="50"/>
      <c r="E45" s="50"/>
      <c r="F45" s="51"/>
      <c r="G45" s="52"/>
      <c r="H45" s="52"/>
      <c r="I45" s="50"/>
      <c r="J45" s="50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50"/>
      <c r="B46" s="50"/>
      <c r="C46" s="50"/>
      <c r="D46" s="50"/>
      <c r="E46" s="50"/>
      <c r="F46" s="51"/>
      <c r="G46" s="52"/>
      <c r="H46" s="52"/>
      <c r="I46" s="50"/>
      <c r="J46" s="50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50"/>
      <c r="B47" s="50"/>
      <c r="C47" s="50"/>
      <c r="D47" s="50"/>
      <c r="E47" s="50"/>
      <c r="F47" s="51"/>
      <c r="G47" s="52"/>
      <c r="H47" s="52"/>
      <c r="I47" s="50"/>
      <c r="J47" s="50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50"/>
      <c r="B48" s="50"/>
      <c r="C48" s="50"/>
      <c r="D48" s="50"/>
      <c r="E48" s="50"/>
      <c r="F48" s="51"/>
      <c r="G48" s="52"/>
      <c r="H48" s="52"/>
      <c r="I48" s="50"/>
      <c r="J48" s="50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50"/>
      <c r="B49" s="50"/>
      <c r="C49" s="50"/>
      <c r="D49" s="50"/>
      <c r="E49" s="50"/>
      <c r="F49" s="51"/>
      <c r="G49" s="52"/>
      <c r="H49" s="52"/>
      <c r="I49" s="50"/>
      <c r="J49" s="50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50"/>
      <c r="B50" s="50"/>
      <c r="C50" s="50"/>
      <c r="D50" s="50"/>
      <c r="E50" s="50"/>
      <c r="F50" s="51"/>
      <c r="G50" s="52"/>
      <c r="H50" s="52"/>
      <c r="I50" s="50"/>
      <c r="J50" s="50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50"/>
      <c r="B51" s="50"/>
      <c r="C51" s="50"/>
      <c r="D51" s="50"/>
      <c r="E51" s="50"/>
      <c r="F51" s="51"/>
      <c r="G51" s="52"/>
      <c r="H51" s="52"/>
      <c r="I51" s="50"/>
      <c r="J51" s="50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50"/>
      <c r="B52" s="50"/>
      <c r="C52" s="50"/>
      <c r="D52" s="50"/>
      <c r="E52" s="50"/>
      <c r="F52" s="51"/>
      <c r="G52" s="52"/>
      <c r="H52" s="52"/>
      <c r="I52" s="50"/>
      <c r="J52" s="50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50"/>
      <c r="B53" s="50"/>
      <c r="C53" s="50"/>
      <c r="D53" s="50"/>
      <c r="E53" s="50"/>
      <c r="F53" s="51"/>
      <c r="G53" s="52"/>
      <c r="H53" s="52"/>
      <c r="I53" s="50"/>
      <c r="J53" s="50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50"/>
      <c r="B54" s="50"/>
      <c r="C54" s="50"/>
      <c r="D54" s="50"/>
      <c r="E54" s="50"/>
      <c r="F54" s="51"/>
      <c r="G54" s="52"/>
      <c r="H54" s="52"/>
      <c r="I54" s="50"/>
      <c r="J54" s="50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50"/>
      <c r="B55" s="50"/>
      <c r="C55" s="50"/>
      <c r="D55" s="50"/>
      <c r="E55" s="50"/>
      <c r="F55" s="51"/>
      <c r="G55" s="52"/>
      <c r="H55" s="52"/>
      <c r="I55" s="50"/>
      <c r="J55" s="50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50"/>
      <c r="B56" s="50"/>
      <c r="C56" s="50"/>
      <c r="D56" s="50"/>
      <c r="E56" s="50"/>
      <c r="F56" s="51"/>
      <c r="G56" s="52"/>
      <c r="H56" s="52"/>
      <c r="I56" s="50"/>
      <c r="J56" s="50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50"/>
      <c r="B57" s="50"/>
      <c r="C57" s="50"/>
      <c r="D57" s="50"/>
      <c r="E57" s="50"/>
      <c r="F57" s="51"/>
      <c r="G57" s="52"/>
      <c r="H57" s="52"/>
      <c r="I57" s="50"/>
      <c r="J57" s="50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50"/>
      <c r="B58" s="50"/>
      <c r="C58" s="50"/>
      <c r="D58" s="50"/>
      <c r="E58" s="50"/>
      <c r="F58" s="51"/>
      <c r="G58" s="52"/>
      <c r="H58" s="52"/>
      <c r="I58" s="50"/>
      <c r="J58" s="50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50"/>
      <c r="B59" s="50"/>
      <c r="C59" s="50"/>
      <c r="D59" s="50"/>
      <c r="E59" s="50"/>
      <c r="F59" s="51"/>
      <c r="G59" s="52"/>
      <c r="H59" s="52"/>
      <c r="I59" s="50"/>
      <c r="J59" s="50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50"/>
      <c r="B60" s="50"/>
      <c r="C60" s="50"/>
      <c r="D60" s="50"/>
      <c r="E60" s="50"/>
      <c r="F60" s="51"/>
      <c r="G60" s="52"/>
      <c r="H60" s="52"/>
      <c r="I60" s="50"/>
      <c r="J60" s="50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50"/>
      <c r="B61" s="50"/>
      <c r="C61" s="50"/>
      <c r="D61" s="50"/>
      <c r="E61" s="50"/>
      <c r="F61" s="51"/>
      <c r="G61" s="52"/>
      <c r="H61" s="52"/>
      <c r="I61" s="50"/>
      <c r="J61" s="50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50"/>
      <c r="B62" s="50"/>
      <c r="C62" s="50"/>
      <c r="D62" s="50"/>
      <c r="E62" s="50"/>
      <c r="F62" s="51"/>
      <c r="G62" s="52"/>
      <c r="H62" s="52"/>
      <c r="I62" s="50"/>
      <c r="J62" s="50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50"/>
      <c r="B63" s="50"/>
      <c r="C63" s="50"/>
      <c r="D63" s="50"/>
      <c r="E63" s="50"/>
      <c r="F63" s="51"/>
      <c r="G63" s="52"/>
      <c r="H63" s="52"/>
      <c r="I63" s="50"/>
      <c r="J63" s="50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50"/>
      <c r="B64" s="50"/>
      <c r="C64" s="50"/>
      <c r="D64" s="50"/>
      <c r="E64" s="50"/>
      <c r="F64" s="51"/>
      <c r="G64" s="52"/>
      <c r="H64" s="52"/>
      <c r="I64" s="50"/>
      <c r="J64" s="50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50"/>
      <c r="B65" s="50"/>
      <c r="C65" s="50"/>
      <c r="D65" s="50"/>
      <c r="E65" s="50"/>
      <c r="F65" s="51"/>
      <c r="G65" s="52"/>
      <c r="H65" s="52"/>
      <c r="I65" s="50"/>
      <c r="J65" s="50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0"/>
      <c r="B66" s="50"/>
      <c r="C66" s="50"/>
      <c r="D66" s="50"/>
      <c r="E66" s="50"/>
      <c r="F66" s="51"/>
      <c r="G66" s="52"/>
      <c r="H66" s="52"/>
      <c r="I66" s="50"/>
      <c r="J66" s="50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0"/>
      <c r="B67" s="50"/>
      <c r="C67" s="50"/>
      <c r="D67" s="50"/>
      <c r="E67" s="50"/>
      <c r="F67" s="51"/>
      <c r="G67" s="52"/>
      <c r="H67" s="52"/>
      <c r="I67" s="50"/>
      <c r="J67" s="50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0"/>
      <c r="B68" s="50"/>
      <c r="C68" s="50"/>
      <c r="D68" s="50"/>
      <c r="E68" s="50"/>
      <c r="F68" s="51"/>
      <c r="G68" s="52"/>
      <c r="H68" s="52"/>
      <c r="I68" s="50"/>
      <c r="J68" s="50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0"/>
      <c r="B69" s="50"/>
      <c r="C69" s="50"/>
      <c r="D69" s="50"/>
      <c r="E69" s="50"/>
      <c r="F69" s="51"/>
      <c r="G69" s="52"/>
      <c r="H69" s="52"/>
      <c r="I69" s="50"/>
      <c r="J69" s="50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0"/>
      <c r="B70" s="50"/>
      <c r="C70" s="50"/>
      <c r="D70" s="50"/>
      <c r="E70" s="50"/>
      <c r="F70" s="51"/>
      <c r="G70" s="52"/>
      <c r="H70" s="52"/>
      <c r="I70" s="50"/>
      <c r="J70" s="50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0"/>
      <c r="B71" s="50"/>
      <c r="C71" s="50"/>
      <c r="D71" s="50"/>
      <c r="E71" s="50"/>
      <c r="F71" s="51"/>
      <c r="G71" s="52"/>
      <c r="H71" s="52"/>
      <c r="I71" s="50"/>
      <c r="J71" s="50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0"/>
      <c r="B72" s="50"/>
      <c r="C72" s="50"/>
      <c r="D72" s="50"/>
      <c r="E72" s="50"/>
      <c r="F72" s="51"/>
      <c r="G72" s="52"/>
      <c r="H72" s="52"/>
      <c r="I72" s="50"/>
      <c r="J72" s="50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0"/>
      <c r="B73" s="50"/>
      <c r="C73" s="50"/>
      <c r="D73" s="50"/>
      <c r="E73" s="50"/>
      <c r="F73" s="51"/>
      <c r="G73" s="52"/>
      <c r="H73" s="52"/>
      <c r="I73" s="50"/>
      <c r="J73" s="50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0"/>
      <c r="B74" s="50"/>
      <c r="C74" s="50"/>
      <c r="D74" s="50"/>
      <c r="E74" s="50"/>
      <c r="F74" s="51"/>
      <c r="G74" s="52"/>
      <c r="H74" s="52"/>
      <c r="I74" s="50"/>
      <c r="J74" s="50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0"/>
      <c r="B75" s="50"/>
      <c r="C75" s="50"/>
      <c r="D75" s="50"/>
      <c r="E75" s="50"/>
      <c r="F75" s="51"/>
      <c r="G75" s="52"/>
      <c r="H75" s="52"/>
      <c r="I75" s="50"/>
      <c r="J75" s="50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0"/>
      <c r="B76" s="50"/>
      <c r="C76" s="50"/>
      <c r="D76" s="50"/>
      <c r="E76" s="50"/>
      <c r="F76" s="51"/>
      <c r="G76" s="52"/>
      <c r="H76" s="52"/>
      <c r="I76" s="50"/>
      <c r="J76" s="50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0"/>
      <c r="B77" s="50"/>
      <c r="C77" s="50"/>
      <c r="D77" s="50"/>
      <c r="E77" s="50"/>
      <c r="F77" s="51"/>
      <c r="G77" s="52"/>
      <c r="H77" s="52"/>
      <c r="I77" s="50"/>
      <c r="J77" s="50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0"/>
      <c r="B78" s="50"/>
      <c r="C78" s="50"/>
      <c r="D78" s="50"/>
      <c r="E78" s="50"/>
      <c r="F78" s="51"/>
      <c r="G78" s="52"/>
      <c r="H78" s="52"/>
      <c r="I78" s="50"/>
      <c r="J78" s="50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0"/>
      <c r="B79" s="50"/>
      <c r="C79" s="50"/>
      <c r="D79" s="50"/>
      <c r="E79" s="50"/>
      <c r="F79" s="51"/>
      <c r="G79" s="52"/>
      <c r="H79" s="52"/>
      <c r="I79" s="50"/>
      <c r="J79" s="50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0"/>
      <c r="B80" s="50"/>
      <c r="C80" s="50"/>
      <c r="D80" s="50"/>
      <c r="E80" s="50"/>
      <c r="F80" s="51"/>
      <c r="G80" s="52"/>
      <c r="H80" s="52"/>
      <c r="I80" s="50"/>
      <c r="J80" s="50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0"/>
      <c r="B81" s="50"/>
      <c r="C81" s="50"/>
      <c r="D81" s="50"/>
      <c r="E81" s="50"/>
      <c r="F81" s="51"/>
      <c r="G81" s="52"/>
      <c r="H81" s="52"/>
      <c r="I81" s="50"/>
      <c r="J81" s="50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0"/>
      <c r="B82" s="50"/>
      <c r="C82" s="50"/>
      <c r="D82" s="50"/>
      <c r="E82" s="50"/>
      <c r="F82" s="51"/>
      <c r="G82" s="52"/>
      <c r="H82" s="52"/>
      <c r="I82" s="50"/>
      <c r="J82" s="50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0"/>
      <c r="B83" s="50"/>
      <c r="C83" s="50"/>
      <c r="D83" s="50"/>
      <c r="E83" s="50"/>
      <c r="F83" s="51"/>
      <c r="G83" s="52"/>
      <c r="H83" s="52"/>
      <c r="I83" s="50"/>
      <c r="J83" s="50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0"/>
      <c r="B84" s="50"/>
      <c r="C84" s="50"/>
      <c r="D84" s="50"/>
      <c r="E84" s="50"/>
      <c r="F84" s="51"/>
      <c r="G84" s="52"/>
      <c r="H84" s="52"/>
      <c r="I84" s="50"/>
      <c r="J84" s="50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0"/>
      <c r="B85" s="50"/>
      <c r="C85" s="50"/>
      <c r="D85" s="50"/>
      <c r="E85" s="50"/>
      <c r="F85" s="51"/>
      <c r="G85" s="52"/>
      <c r="H85" s="52"/>
      <c r="I85" s="50"/>
      <c r="J85" s="50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0"/>
      <c r="B86" s="50"/>
      <c r="C86" s="50"/>
      <c r="D86" s="50"/>
      <c r="E86" s="50"/>
      <c r="F86" s="51"/>
      <c r="G86" s="52"/>
      <c r="H86" s="52"/>
      <c r="I86" s="50"/>
      <c r="J86" s="50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0"/>
      <c r="B87" s="50"/>
      <c r="C87" s="50"/>
      <c r="D87" s="50"/>
      <c r="E87" s="50"/>
      <c r="F87" s="51"/>
      <c r="G87" s="52"/>
      <c r="H87" s="52"/>
      <c r="I87" s="50"/>
      <c r="J87" s="50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0"/>
      <c r="B88" s="50"/>
      <c r="C88" s="50"/>
      <c r="D88" s="50"/>
      <c r="E88" s="50"/>
      <c r="F88" s="51"/>
      <c r="G88" s="52"/>
      <c r="H88" s="52"/>
      <c r="I88" s="50"/>
      <c r="J88" s="50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0"/>
      <c r="B89" s="50"/>
      <c r="C89" s="50"/>
      <c r="D89" s="50"/>
      <c r="E89" s="50"/>
      <c r="F89" s="51"/>
      <c r="G89" s="52"/>
      <c r="H89" s="52"/>
      <c r="I89" s="50"/>
      <c r="J89" s="50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0"/>
      <c r="B90" s="50"/>
      <c r="C90" s="50"/>
      <c r="D90" s="50"/>
      <c r="E90" s="50"/>
      <c r="F90" s="51"/>
      <c r="G90" s="52"/>
      <c r="H90" s="52"/>
      <c r="I90" s="50"/>
      <c r="J90" s="50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3"/>
      <c r="B91" s="53"/>
      <c r="C91" s="53"/>
      <c r="D91" s="53"/>
      <c r="E91" s="53"/>
      <c r="F91" s="53"/>
      <c r="G91" s="54"/>
      <c r="H91" s="54"/>
      <c r="I91" s="53"/>
      <c r="J91" s="53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3"/>
      <c r="B92" s="53"/>
      <c r="C92" s="53"/>
      <c r="D92" s="53"/>
      <c r="E92" s="53"/>
      <c r="F92" s="53"/>
      <c r="G92" s="54"/>
      <c r="H92" s="54"/>
      <c r="I92" s="53"/>
      <c r="J92" s="53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3"/>
      <c r="B93" s="53"/>
      <c r="C93" s="53"/>
      <c r="D93" s="53"/>
      <c r="E93" s="53"/>
      <c r="F93" s="53"/>
      <c r="G93" s="54"/>
      <c r="H93" s="54"/>
      <c r="I93" s="53"/>
      <c r="J93" s="53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3"/>
      <c r="B94" s="53"/>
      <c r="C94" s="53"/>
      <c r="D94" s="53"/>
      <c r="E94" s="53"/>
      <c r="F94" s="53"/>
      <c r="G94" s="54"/>
      <c r="H94" s="54"/>
      <c r="I94" s="53"/>
      <c r="J94" s="53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3"/>
      <c r="B95" s="53"/>
      <c r="C95" s="53"/>
      <c r="D95" s="53"/>
      <c r="E95" s="53"/>
      <c r="F95" s="53"/>
      <c r="G95" s="54"/>
      <c r="H95" s="54"/>
      <c r="I95" s="53"/>
      <c r="J95" s="53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3"/>
      <c r="B96" s="53"/>
      <c r="C96" s="53"/>
      <c r="D96" s="53"/>
      <c r="E96" s="53"/>
      <c r="F96" s="53"/>
      <c r="G96" s="54"/>
      <c r="H96" s="54"/>
      <c r="I96" s="53"/>
      <c r="J96" s="53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3"/>
      <c r="B97" s="53"/>
      <c r="C97" s="53"/>
      <c r="D97" s="53"/>
      <c r="E97" s="53"/>
      <c r="F97" s="53"/>
      <c r="G97" s="54"/>
      <c r="H97" s="54"/>
      <c r="I97" s="53"/>
      <c r="J97" s="53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3"/>
      <c r="B98" s="53"/>
      <c r="C98" s="53"/>
      <c r="D98" s="53"/>
      <c r="E98" s="53"/>
      <c r="F98" s="53"/>
      <c r="G98" s="54"/>
      <c r="H98" s="54"/>
      <c r="I98" s="53"/>
      <c r="J98" s="53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3"/>
      <c r="B99" s="53"/>
      <c r="C99" s="53"/>
      <c r="D99" s="53"/>
      <c r="E99" s="53"/>
      <c r="F99" s="53"/>
      <c r="G99" s="54"/>
      <c r="H99" s="54"/>
      <c r="I99" s="53"/>
      <c r="J99" s="53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3"/>
      <c r="B100" s="53"/>
      <c r="C100" s="53"/>
      <c r="D100" s="53"/>
      <c r="E100" s="53"/>
      <c r="F100" s="53"/>
      <c r="G100" s="54"/>
      <c r="H100" s="54"/>
      <c r="I100" s="53"/>
      <c r="J100" s="53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3"/>
      <c r="B101" s="53"/>
      <c r="C101" s="53"/>
      <c r="D101" s="53"/>
      <c r="E101" s="53"/>
      <c r="F101" s="53"/>
      <c r="G101" s="54"/>
      <c r="H101" s="54"/>
      <c r="I101" s="53"/>
      <c r="J101" s="53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3"/>
      <c r="B102" s="53"/>
      <c r="C102" s="53"/>
      <c r="D102" s="53"/>
      <c r="E102" s="53"/>
      <c r="F102" s="53"/>
      <c r="G102" s="54"/>
      <c r="H102" s="54"/>
      <c r="I102" s="53"/>
      <c r="J102" s="53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3"/>
      <c r="B103" s="53"/>
      <c r="C103" s="53"/>
      <c r="D103" s="53"/>
      <c r="E103" s="53"/>
      <c r="F103" s="53"/>
      <c r="G103" s="54"/>
      <c r="H103" s="54"/>
      <c r="I103" s="53"/>
      <c r="J103" s="53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3"/>
      <c r="B104" s="53"/>
      <c r="C104" s="53"/>
      <c r="D104" s="53"/>
      <c r="E104" s="53"/>
      <c r="F104" s="53"/>
      <c r="G104" s="54"/>
      <c r="H104" s="54"/>
      <c r="I104" s="53"/>
      <c r="J104" s="53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3"/>
      <c r="B105" s="53"/>
      <c r="C105" s="53"/>
      <c r="D105" s="53"/>
      <c r="E105" s="53"/>
      <c r="F105" s="53"/>
      <c r="G105" s="54"/>
      <c r="H105" s="54"/>
      <c r="I105" s="53"/>
      <c r="J105" s="53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3"/>
      <c r="B106" s="53"/>
      <c r="C106" s="53"/>
      <c r="D106" s="53"/>
      <c r="E106" s="53"/>
      <c r="F106" s="53"/>
      <c r="G106" s="54"/>
      <c r="H106" s="54"/>
      <c r="I106" s="53"/>
      <c r="J106" s="53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3"/>
      <c r="B107" s="53"/>
      <c r="C107" s="53"/>
      <c r="D107" s="53"/>
      <c r="E107" s="53"/>
      <c r="F107" s="53"/>
      <c r="G107" s="54"/>
      <c r="H107" s="54"/>
      <c r="I107" s="53"/>
      <c r="J107" s="53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3"/>
      <c r="B108" s="53"/>
      <c r="C108" s="53"/>
      <c r="D108" s="53"/>
      <c r="E108" s="53"/>
      <c r="F108" s="53"/>
      <c r="G108" s="54"/>
      <c r="H108" s="54"/>
      <c r="I108" s="53"/>
      <c r="J108" s="53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3"/>
      <c r="B109" s="53"/>
      <c r="C109" s="53"/>
      <c r="D109" s="53"/>
      <c r="E109" s="53"/>
      <c r="F109" s="53"/>
      <c r="G109" s="54"/>
      <c r="H109" s="54"/>
      <c r="I109" s="53"/>
      <c r="J109" s="53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3"/>
      <c r="B110" s="53"/>
      <c r="C110" s="53"/>
      <c r="D110" s="53"/>
      <c r="E110" s="53"/>
      <c r="F110" s="53"/>
      <c r="G110" s="54"/>
      <c r="H110" s="54"/>
      <c r="I110" s="53"/>
      <c r="J110" s="53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3"/>
      <c r="B111" s="53"/>
      <c r="C111" s="53"/>
      <c r="D111" s="53"/>
      <c r="E111" s="53"/>
      <c r="F111" s="53"/>
      <c r="G111" s="54"/>
      <c r="H111" s="54"/>
      <c r="I111" s="53"/>
      <c r="J111" s="53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3"/>
      <c r="B112" s="53"/>
      <c r="C112" s="53"/>
      <c r="D112" s="53"/>
      <c r="E112" s="53"/>
      <c r="F112" s="53"/>
      <c r="G112" s="54"/>
      <c r="H112" s="54"/>
      <c r="I112" s="53"/>
      <c r="J112" s="53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3"/>
      <c r="B113" s="53"/>
      <c r="C113" s="53"/>
      <c r="D113" s="53"/>
      <c r="E113" s="53"/>
      <c r="F113" s="53"/>
      <c r="G113" s="54"/>
      <c r="H113" s="54"/>
      <c r="I113" s="53"/>
      <c r="J113" s="53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3"/>
      <c r="B114" s="53"/>
      <c r="C114" s="53"/>
      <c r="D114" s="53"/>
      <c r="E114" s="53"/>
      <c r="F114" s="53"/>
      <c r="G114" s="54"/>
      <c r="H114" s="54"/>
      <c r="I114" s="53"/>
      <c r="J114" s="53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3"/>
      <c r="B115" s="53"/>
      <c r="C115" s="53"/>
      <c r="D115" s="53"/>
      <c r="E115" s="53"/>
      <c r="F115" s="53"/>
      <c r="G115" s="54"/>
      <c r="H115" s="54"/>
      <c r="I115" s="53"/>
      <c r="J115" s="53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53"/>
      <c r="B258" s="53"/>
      <c r="C258" s="53"/>
      <c r="D258" s="53"/>
      <c r="E258" s="53"/>
      <c r="F258" s="53"/>
      <c r="G258" s="54"/>
      <c r="H258" s="54"/>
      <c r="I258" s="53"/>
      <c r="J258" s="53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53"/>
      <c r="B259" s="53"/>
      <c r="C259" s="53"/>
      <c r="D259" s="53"/>
      <c r="E259" s="53"/>
      <c r="F259" s="53"/>
      <c r="G259" s="54"/>
      <c r="H259" s="54"/>
      <c r="I259" s="53"/>
      <c r="J259" s="53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53"/>
      <c r="B260" s="53"/>
      <c r="C260" s="53"/>
      <c r="D260" s="53"/>
      <c r="E260" s="53"/>
      <c r="F260" s="53"/>
      <c r="G260" s="54"/>
      <c r="H260" s="54"/>
      <c r="I260" s="53"/>
      <c r="J260" s="53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53"/>
      <c r="B261" s="53"/>
      <c r="C261" s="53"/>
      <c r="D261" s="53"/>
      <c r="E261" s="53"/>
      <c r="F261" s="53"/>
      <c r="G261" s="54"/>
      <c r="H261" s="54"/>
      <c r="I261" s="53"/>
      <c r="J261" s="53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53"/>
      <c r="B262" s="53"/>
      <c r="C262" s="53"/>
      <c r="D262" s="53"/>
      <c r="E262" s="53"/>
      <c r="F262" s="53"/>
      <c r="G262" s="54"/>
      <c r="H262" s="54"/>
      <c r="I262" s="53"/>
      <c r="J262" s="53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53"/>
      <c r="B263" s="53"/>
      <c r="C263" s="53"/>
      <c r="D263" s="53"/>
      <c r="E263" s="53"/>
      <c r="F263" s="53"/>
      <c r="G263" s="54"/>
      <c r="H263" s="54"/>
      <c r="I263" s="53"/>
      <c r="J263" s="53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53"/>
      <c r="B264" s="53"/>
      <c r="C264" s="53"/>
      <c r="D264" s="53"/>
      <c r="E264" s="53"/>
      <c r="F264" s="53"/>
      <c r="G264" s="54"/>
      <c r="H264" s="54"/>
      <c r="I264" s="53"/>
      <c r="J264" s="53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53"/>
      <c r="B265" s="53"/>
      <c r="C265" s="53"/>
      <c r="D265" s="53"/>
      <c r="E265" s="53"/>
      <c r="F265" s="53"/>
      <c r="G265" s="54"/>
      <c r="H265" s="54"/>
      <c r="I265" s="53"/>
      <c r="J265" s="53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53"/>
      <c r="B266" s="53"/>
      <c r="C266" s="53"/>
      <c r="D266" s="53"/>
      <c r="E266" s="53"/>
      <c r="F266" s="53"/>
      <c r="G266" s="54"/>
      <c r="H266" s="54"/>
      <c r="I266" s="53"/>
      <c r="J266" s="53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53"/>
      <c r="B267" s="53"/>
      <c r="C267" s="53"/>
      <c r="D267" s="53"/>
      <c r="E267" s="53"/>
      <c r="F267" s="53"/>
      <c r="G267" s="54"/>
      <c r="H267" s="54"/>
      <c r="I267" s="53"/>
      <c r="J267" s="53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53"/>
      <c r="B268" s="53"/>
      <c r="C268" s="53"/>
      <c r="D268" s="53"/>
      <c r="E268" s="53"/>
      <c r="F268" s="53"/>
      <c r="G268" s="54"/>
      <c r="H268" s="54"/>
      <c r="I268" s="53"/>
      <c r="J268" s="53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53"/>
      <c r="B269" s="53"/>
      <c r="C269" s="53"/>
      <c r="D269" s="53"/>
      <c r="E269" s="53"/>
      <c r="F269" s="53"/>
      <c r="G269" s="54"/>
      <c r="H269" s="54"/>
      <c r="I269" s="53"/>
      <c r="J269" s="53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53"/>
      <c r="B270" s="53"/>
      <c r="C270" s="53"/>
      <c r="D270" s="53"/>
      <c r="E270" s="53"/>
      <c r="F270" s="53"/>
      <c r="G270" s="54"/>
      <c r="H270" s="54"/>
      <c r="I270" s="53"/>
      <c r="J270" s="53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53"/>
      <c r="B271" s="53"/>
      <c r="C271" s="53"/>
      <c r="D271" s="53"/>
      <c r="E271" s="53"/>
      <c r="F271" s="53"/>
      <c r="G271" s="54"/>
      <c r="H271" s="54"/>
      <c r="I271" s="53"/>
      <c r="J271" s="53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53"/>
      <c r="B272" s="53"/>
      <c r="C272" s="53"/>
      <c r="D272" s="53"/>
      <c r="E272" s="53"/>
      <c r="F272" s="53"/>
      <c r="G272" s="54"/>
      <c r="H272" s="54"/>
      <c r="I272" s="53"/>
      <c r="J272" s="53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53"/>
      <c r="B273" s="53"/>
      <c r="C273" s="53"/>
      <c r="D273" s="53"/>
      <c r="E273" s="53"/>
      <c r="F273" s="53"/>
      <c r="G273" s="54"/>
      <c r="H273" s="54"/>
      <c r="I273" s="53"/>
      <c r="J273" s="53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53"/>
      <c r="B274" s="53"/>
      <c r="C274" s="53"/>
      <c r="D274" s="53"/>
      <c r="E274" s="53"/>
      <c r="F274" s="53"/>
      <c r="G274" s="54"/>
      <c r="H274" s="54"/>
      <c r="I274" s="53"/>
      <c r="J274" s="53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53"/>
      <c r="B275" s="53"/>
      <c r="C275" s="53"/>
      <c r="D275" s="53"/>
      <c r="E275" s="53"/>
      <c r="F275" s="53"/>
      <c r="G275" s="54"/>
      <c r="H275" s="54"/>
      <c r="I275" s="53"/>
      <c r="J275" s="53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53"/>
      <c r="B276" s="53"/>
      <c r="C276" s="53"/>
      <c r="D276" s="53"/>
      <c r="E276" s="53"/>
      <c r="F276" s="53"/>
      <c r="G276" s="54"/>
      <c r="H276" s="54"/>
      <c r="I276" s="53"/>
      <c r="J276" s="53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53"/>
      <c r="B277" s="53"/>
      <c r="C277" s="53"/>
      <c r="D277" s="53"/>
      <c r="E277" s="53"/>
      <c r="F277" s="53"/>
      <c r="G277" s="54"/>
      <c r="H277" s="54"/>
      <c r="I277" s="53"/>
      <c r="J277" s="53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53"/>
      <c r="B278" s="53"/>
      <c r="C278" s="53"/>
      <c r="D278" s="53"/>
      <c r="E278" s="53"/>
      <c r="F278" s="53"/>
      <c r="G278" s="54"/>
      <c r="H278" s="54"/>
      <c r="I278" s="53"/>
      <c r="J278" s="53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53"/>
      <c r="B279" s="53"/>
      <c r="C279" s="53"/>
      <c r="D279" s="53"/>
      <c r="E279" s="53"/>
      <c r="F279" s="53"/>
      <c r="G279" s="54"/>
      <c r="H279" s="54"/>
      <c r="I279" s="53"/>
      <c r="J279" s="53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53"/>
      <c r="B280" s="53"/>
      <c r="C280" s="53"/>
      <c r="D280" s="53"/>
      <c r="E280" s="53"/>
      <c r="F280" s="53"/>
      <c r="G280" s="54"/>
      <c r="H280" s="54"/>
      <c r="I280" s="53"/>
      <c r="J280" s="53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53"/>
      <c r="B281" s="53"/>
      <c r="C281" s="53"/>
      <c r="D281" s="53"/>
      <c r="E281" s="53"/>
      <c r="F281" s="53"/>
      <c r="G281" s="54"/>
      <c r="H281" s="54"/>
      <c r="I281" s="53"/>
      <c r="J281" s="53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53"/>
      <c r="B282" s="53"/>
      <c r="C282" s="53"/>
      <c r="D282" s="53"/>
      <c r="E282" s="53"/>
      <c r="F282" s="53"/>
      <c r="G282" s="54"/>
      <c r="H282" s="54"/>
      <c r="I282" s="53"/>
      <c r="J282" s="53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53"/>
      <c r="B283" s="53"/>
      <c r="C283" s="53"/>
      <c r="D283" s="53"/>
      <c r="E283" s="53"/>
      <c r="F283" s="53"/>
      <c r="G283" s="54"/>
      <c r="H283" s="54"/>
      <c r="I283" s="53"/>
      <c r="J283" s="53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53"/>
      <c r="B284" s="53"/>
      <c r="C284" s="53"/>
      <c r="D284" s="53"/>
      <c r="E284" s="53"/>
      <c r="F284" s="53"/>
      <c r="G284" s="54"/>
      <c r="H284" s="54"/>
      <c r="I284" s="53"/>
      <c r="J284" s="53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53"/>
      <c r="B285" s="53"/>
      <c r="C285" s="53"/>
      <c r="D285" s="53"/>
      <c r="E285" s="53"/>
      <c r="F285" s="53"/>
      <c r="G285" s="54"/>
      <c r="H285" s="54"/>
      <c r="I285" s="53"/>
      <c r="J285" s="53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53"/>
      <c r="B286" s="53"/>
      <c r="C286" s="53"/>
      <c r="D286" s="53"/>
      <c r="E286" s="53"/>
      <c r="F286" s="53"/>
      <c r="G286" s="54"/>
      <c r="H286" s="54"/>
      <c r="I286" s="53"/>
      <c r="J286" s="53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53"/>
      <c r="B287" s="53"/>
      <c r="C287" s="53"/>
      <c r="D287" s="53"/>
      <c r="E287" s="53"/>
      <c r="F287" s="53"/>
      <c r="G287" s="54"/>
      <c r="H287" s="54"/>
      <c r="I287" s="53"/>
      <c r="J287" s="53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53"/>
      <c r="B288" s="53"/>
      <c r="C288" s="53"/>
      <c r="D288" s="53"/>
      <c r="E288" s="53"/>
      <c r="F288" s="53"/>
      <c r="G288" s="54"/>
      <c r="H288" s="54"/>
      <c r="I288" s="53"/>
      <c r="J288" s="53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53"/>
      <c r="B289" s="53"/>
      <c r="C289" s="53"/>
      <c r="D289" s="53"/>
      <c r="E289" s="53"/>
      <c r="F289" s="53"/>
      <c r="G289" s="54"/>
      <c r="H289" s="54"/>
      <c r="I289" s="53"/>
      <c r="J289" s="53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53"/>
      <c r="B290" s="53"/>
      <c r="C290" s="53"/>
      <c r="D290" s="53"/>
      <c r="E290" s="53"/>
      <c r="F290" s="53"/>
      <c r="G290" s="54"/>
      <c r="H290" s="54"/>
      <c r="I290" s="53"/>
      <c r="J290" s="53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  <row r="943" spans="1:35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3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</row>
    <row r="944" spans="1:35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3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</row>
    <row r="945" spans="1:35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3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</row>
    <row r="946" spans="1:35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3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</row>
    <row r="947" spans="1:35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3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</row>
    <row r="948" spans="1:35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3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</row>
    <row r="949" spans="1:35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3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</row>
    <row r="950" spans="1:35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3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</row>
    <row r="951" spans="1:35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3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</row>
    <row r="952" spans="1:35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3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</row>
    <row r="953" spans="1:35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3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</row>
    <row r="954" spans="1:35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3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</row>
    <row r="955" spans="1:35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3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</row>
    <row r="956" spans="1:35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3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</row>
    <row r="957" spans="1:35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3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</row>
    <row r="958" spans="1:35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3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</row>
    <row r="959" spans="1:35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3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</row>
    <row r="960" spans="1:35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3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</row>
    <row r="961" spans="1:35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3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</row>
    <row r="962" spans="1:35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3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</row>
    <row r="963" spans="1:35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3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</row>
    <row r="964" spans="1:35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3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</row>
    <row r="965" spans="1:35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3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</row>
    <row r="966" spans="1:35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3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</row>
    <row r="967" spans="1:35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3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</row>
    <row r="968" spans="1:35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3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</row>
    <row r="969" spans="1:35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3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</row>
    <row r="970" spans="1:35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3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</row>
    <row r="971" spans="1:35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3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</row>
    <row r="972" spans="1:35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3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</row>
    <row r="973" spans="1:35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3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</row>
    <row r="974" spans="1:35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3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</row>
    <row r="975" spans="1:35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3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</row>
  </sheetData>
  <mergeCells count="3">
    <mergeCell ref="A1:C1"/>
    <mergeCell ref="A2:C2"/>
    <mergeCell ref="A3:B3"/>
  </mergeCells>
  <conditionalFormatting sqref="A11:F377 I11:J377">
    <cfRule type="expression" dxfId="14" priority="1" stopIfTrue="1">
      <formula>$A11&lt;&gt;""</formula>
    </cfRule>
  </conditionalFormatting>
  <conditionalFormatting sqref="G11:G377">
    <cfRule type="cellIs" dxfId="13" priority="2" stopIfTrue="1" operator="greaterThan">
      <formula>$O$3</formula>
    </cfRule>
    <cfRule type="expression" dxfId="12" priority="3" stopIfTrue="1">
      <formula>$A11&lt;&gt;""</formula>
    </cfRule>
  </conditionalFormatting>
  <conditionalFormatting sqref="H11:H377">
    <cfRule type="expression" dxfId="11" priority="4" stopIfTrue="1">
      <formula>L11="N"</formula>
    </cfRule>
    <cfRule type="expression" dxfId="10" priority="5" stopIfTrue="1">
      <formula>$A11&lt;&gt;""</formula>
    </cfRule>
  </conditionalFormatting>
  <dataValidations count="2">
    <dataValidation type="list" allowBlank="1" showErrorMessage="1" sqref="D11:D971" xr:uid="{00000000-0002-0000-0200-000000000000}">
      <formula1>"Interno,Externo"</formula1>
    </dataValidation>
    <dataValidation type="list" allowBlank="1" showErrorMessage="1" sqref="E11:E971" xr:uid="{00000000-0002-0000-0200-000001000000}">
      <formula1>"Diaria,Semanal,Quincenal,Mensual,Bimensual,Trimestral,Semestral,Anual,Bianual,Trianual,Quinquenal,Decenal"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942"/>
  <sheetViews>
    <sheetView showGridLines="0" tabSelected="1" workbookViewId="0">
      <selection activeCell="E11" sqref="E11"/>
    </sheetView>
  </sheetViews>
  <sheetFormatPr baseColWidth="10" defaultColWidth="12.6640625" defaultRowHeight="15" customHeight="1" x14ac:dyDescent="0.25"/>
  <cols>
    <col min="1" max="1" width="62" customWidth="1"/>
    <col min="2" max="2" width="18.44140625" customWidth="1"/>
    <col min="3" max="3" width="17.109375" customWidth="1"/>
    <col min="4" max="4" width="17" customWidth="1"/>
    <col min="5" max="5" width="17.6640625" customWidth="1"/>
    <col min="6" max="6" width="35.33203125" customWidth="1"/>
    <col min="7" max="7" width="15" customWidth="1"/>
    <col min="8" max="8" width="13.109375" customWidth="1"/>
    <col min="9" max="9" width="16.33203125" customWidth="1"/>
    <col min="10" max="10" width="31.6640625" customWidth="1"/>
    <col min="11" max="11" width="1.6640625" customWidth="1"/>
    <col min="12" max="12" width="9.44140625" hidden="1" customWidth="1"/>
    <col min="13" max="13" width="13.6640625" hidden="1" customWidth="1"/>
    <col min="14" max="15" width="11.44140625" hidden="1" customWidth="1"/>
    <col min="16" max="35" width="11.44140625" customWidth="1"/>
  </cols>
  <sheetData>
    <row r="1" spans="1:35" ht="52.5" customHeight="1" x14ac:dyDescent="0.25">
      <c r="A1" s="76" t="s">
        <v>3</v>
      </c>
      <c r="B1" s="77"/>
      <c r="C1" s="77"/>
      <c r="D1" s="6"/>
      <c r="E1" s="6"/>
      <c r="F1" s="6"/>
      <c r="G1" s="6"/>
      <c r="H1" s="6"/>
      <c r="I1" s="6"/>
      <c r="J1" s="6"/>
      <c r="K1" s="21"/>
      <c r="L1" s="23"/>
      <c r="M1" s="24"/>
      <c r="N1" s="24"/>
      <c r="O1" s="24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</row>
    <row r="2" spans="1:35" ht="24.75" customHeight="1" x14ac:dyDescent="0.25">
      <c r="A2" s="78"/>
      <c r="B2" s="77"/>
      <c r="C2" s="77"/>
      <c r="D2" s="25"/>
      <c r="E2" s="25"/>
      <c r="F2" s="25"/>
      <c r="G2" s="25"/>
      <c r="H2" s="25"/>
      <c r="I2" s="26" t="s">
        <v>12</v>
      </c>
      <c r="J2" s="27" t="str">
        <f>IF(J3=0,"",J4/J3)</f>
        <v/>
      </c>
      <c r="K2" s="21"/>
      <c r="L2" s="23"/>
      <c r="M2" s="24" t="s">
        <v>13</v>
      </c>
      <c r="N2" s="24" t="s">
        <v>14</v>
      </c>
      <c r="O2" s="24" t="s">
        <v>15</v>
      </c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spans="1:35" ht="19.5" customHeight="1" x14ac:dyDescent="0.25">
      <c r="A3" s="79" t="s">
        <v>16</v>
      </c>
      <c r="B3" s="77"/>
      <c r="C3" s="28"/>
      <c r="D3" s="25"/>
      <c r="E3" s="25"/>
      <c r="F3" s="25"/>
      <c r="G3" s="25"/>
      <c r="H3" s="25"/>
      <c r="I3" s="26" t="s">
        <v>17</v>
      </c>
      <c r="J3" s="29">
        <f>COUNTA(A11:A344)</f>
        <v>0</v>
      </c>
      <c r="K3" s="21"/>
      <c r="L3" s="30"/>
      <c r="M3" s="31">
        <v>30</v>
      </c>
      <c r="N3" s="32">
        <f>COUNTIF(L2:L344,"N")</f>
        <v>0</v>
      </c>
      <c r="O3" s="24">
        <f ca="1">TODAY()</f>
        <v>46156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spans="1:35" ht="12.75" customHeight="1" x14ac:dyDescent="0.25">
      <c r="A4" s="25"/>
      <c r="B4" s="25"/>
      <c r="C4" s="25"/>
      <c r="D4" s="25"/>
      <c r="E4" s="25"/>
      <c r="F4" s="25"/>
      <c r="G4" s="25"/>
      <c r="H4" s="25"/>
      <c r="I4" s="26" t="s">
        <v>18</v>
      </c>
      <c r="J4" s="29">
        <f>COUNTA(H11:H344)</f>
        <v>0</v>
      </c>
      <c r="K4" s="21"/>
      <c r="L4" s="30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spans="1:35" ht="12.75" customHeight="1" x14ac:dyDescent="0.25">
      <c r="A5" s="25"/>
      <c r="B5" s="25"/>
      <c r="C5" s="25"/>
      <c r="D5" s="25"/>
      <c r="E5" s="25"/>
      <c r="F5" s="25"/>
      <c r="G5" s="25"/>
      <c r="H5" s="25"/>
      <c r="I5" s="26" t="s">
        <v>19</v>
      </c>
      <c r="J5" s="29">
        <f>J3-J4</f>
        <v>0</v>
      </c>
      <c r="K5" s="21"/>
      <c r="L5" s="30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spans="1:35" ht="12.75" customHeight="1" x14ac:dyDescent="0.25">
      <c r="A6" s="33" t="s">
        <v>20</v>
      </c>
      <c r="B6" s="34"/>
      <c r="C6" s="34"/>
      <c r="D6" s="34"/>
      <c r="E6" s="34"/>
      <c r="F6" s="25"/>
      <c r="G6" s="25"/>
      <c r="H6" s="25"/>
      <c r="I6" s="25"/>
      <c r="J6" s="25"/>
      <c r="K6" s="21"/>
      <c r="L6" s="23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spans="1:35" ht="18" customHeight="1" x14ac:dyDescent="0.25">
      <c r="A7" s="34" t="s">
        <v>21</v>
      </c>
      <c r="B7" s="34"/>
      <c r="C7" s="34"/>
      <c r="D7" s="34"/>
      <c r="E7" s="34"/>
      <c r="F7" s="25"/>
      <c r="G7" s="25"/>
      <c r="H7" s="25"/>
      <c r="K7" s="21"/>
      <c r="L7" s="23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spans="1:35" ht="12.75" customHeight="1" x14ac:dyDescent="0.25">
      <c r="A8" s="34"/>
      <c r="B8" s="34"/>
      <c r="C8" s="34"/>
      <c r="D8" s="34"/>
      <c r="E8" s="34"/>
      <c r="F8" s="25"/>
      <c r="G8" s="25"/>
      <c r="H8" s="25"/>
      <c r="I8" s="25"/>
      <c r="J8" s="25"/>
      <c r="K8" s="21"/>
      <c r="L8" s="23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spans="1:35" ht="12.75" customHeight="1" x14ac:dyDescent="0.25">
      <c r="A9" s="25"/>
      <c r="B9" s="25"/>
      <c r="C9" s="25"/>
      <c r="D9" s="25"/>
      <c r="E9" s="25"/>
      <c r="F9" s="25"/>
      <c r="G9" s="25"/>
      <c r="H9" s="25"/>
      <c r="I9" s="25"/>
      <c r="J9" s="25"/>
      <c r="K9" s="21"/>
      <c r="L9" s="23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5" ht="51" customHeight="1" x14ac:dyDescent="0.25">
      <c r="A10" s="29" t="s">
        <v>35</v>
      </c>
      <c r="B10" s="29" t="s">
        <v>23</v>
      </c>
      <c r="C10" s="29" t="s">
        <v>24</v>
      </c>
      <c r="D10" s="37" t="s">
        <v>25</v>
      </c>
      <c r="E10" s="29" t="s">
        <v>26</v>
      </c>
      <c r="F10" s="29" t="s">
        <v>27</v>
      </c>
      <c r="G10" s="29" t="s">
        <v>28</v>
      </c>
      <c r="H10" s="29" t="s">
        <v>29</v>
      </c>
      <c r="I10" s="29" t="s">
        <v>36</v>
      </c>
      <c r="J10" s="29" t="s">
        <v>31</v>
      </c>
      <c r="K10" s="38"/>
      <c r="L10" s="39" t="s">
        <v>32</v>
      </c>
      <c r="M10" s="38"/>
      <c r="N10" s="38"/>
      <c r="O10" s="38"/>
      <c r="P10" s="38"/>
      <c r="Q10" s="38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38"/>
      <c r="AC10" s="38"/>
      <c r="AD10" s="38"/>
      <c r="AE10" s="38"/>
      <c r="AF10" s="38"/>
      <c r="AG10" s="38"/>
      <c r="AH10" s="38"/>
      <c r="AI10" s="38"/>
    </row>
    <row r="11" spans="1:35" ht="12.75" customHeight="1" x14ac:dyDescent="0.25">
      <c r="A11" s="47"/>
      <c r="B11" s="47"/>
      <c r="C11" s="47"/>
      <c r="D11" s="47"/>
      <c r="E11" s="47"/>
      <c r="F11" s="48"/>
      <c r="G11" s="58"/>
      <c r="H11" s="58"/>
      <c r="I11" s="47"/>
      <c r="J11" s="47"/>
      <c r="K11" s="21"/>
      <c r="L11" s="23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spans="1:35" ht="12.75" customHeight="1" x14ac:dyDescent="0.25">
      <c r="A12" s="47"/>
      <c r="B12" s="47"/>
      <c r="C12" s="47"/>
      <c r="D12" s="47"/>
      <c r="E12" s="47"/>
      <c r="F12" s="48"/>
      <c r="G12" s="58"/>
      <c r="H12" s="58"/>
      <c r="I12" s="47"/>
      <c r="J12" s="47"/>
      <c r="K12" s="21"/>
      <c r="L12" s="23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spans="1:35" ht="12.75" customHeight="1" x14ac:dyDescent="0.25">
      <c r="A13" s="47"/>
      <c r="B13" s="47"/>
      <c r="C13" s="47"/>
      <c r="D13" s="47"/>
      <c r="E13" s="47"/>
      <c r="F13" s="48"/>
      <c r="G13" s="49"/>
      <c r="H13" s="58"/>
      <c r="I13" s="47"/>
      <c r="J13" s="47"/>
      <c r="K13" s="21"/>
      <c r="L13" s="23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spans="1:35" ht="12.75" customHeight="1" x14ac:dyDescent="0.25">
      <c r="A14" s="47"/>
      <c r="B14" s="47"/>
      <c r="C14" s="47"/>
      <c r="D14" s="47"/>
      <c r="E14" s="47"/>
      <c r="F14" s="48"/>
      <c r="G14" s="49"/>
      <c r="H14" s="58"/>
      <c r="I14" s="47"/>
      <c r="J14" s="47"/>
      <c r="K14" s="21"/>
      <c r="L14" s="23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ht="12.75" customHeight="1" x14ac:dyDescent="0.25">
      <c r="A15" s="47"/>
      <c r="B15" s="47"/>
      <c r="C15" s="47"/>
      <c r="D15" s="47"/>
      <c r="E15" s="47"/>
      <c r="F15" s="48"/>
      <c r="G15" s="58"/>
      <c r="H15" s="49"/>
      <c r="I15" s="47"/>
      <c r="J15" s="47"/>
      <c r="K15" s="21"/>
      <c r="L15" s="23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spans="1:35" ht="12.75" customHeight="1" x14ac:dyDescent="0.25">
      <c r="A16" s="47"/>
      <c r="B16" s="47"/>
      <c r="C16" s="47"/>
      <c r="D16" s="47"/>
      <c r="E16" s="47"/>
      <c r="F16" s="48"/>
      <c r="G16" s="49"/>
      <c r="H16" s="58"/>
      <c r="I16" s="47"/>
      <c r="J16" s="47"/>
      <c r="K16" s="21"/>
      <c r="L16" s="23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1:35" ht="12.75" customHeight="1" x14ac:dyDescent="0.25">
      <c r="A17" s="47"/>
      <c r="B17" s="47"/>
      <c r="C17" s="47"/>
      <c r="D17" s="47"/>
      <c r="E17" s="47"/>
      <c r="F17" s="48"/>
      <c r="G17" s="49"/>
      <c r="H17" s="58"/>
      <c r="I17" s="47"/>
      <c r="J17" s="47"/>
      <c r="K17" s="21"/>
      <c r="L17" s="23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spans="1:35" ht="12.75" customHeight="1" x14ac:dyDescent="0.25">
      <c r="A18" s="47"/>
      <c r="B18" s="47"/>
      <c r="C18" s="47"/>
      <c r="D18" s="47"/>
      <c r="E18" s="47"/>
      <c r="F18" s="48"/>
      <c r="G18" s="58"/>
      <c r="H18" s="49"/>
      <c r="I18" s="47"/>
      <c r="J18" s="57"/>
      <c r="K18" s="21"/>
      <c r="L18" s="23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1:35" ht="12.75" customHeight="1" x14ac:dyDescent="0.25">
      <c r="A19" s="47"/>
      <c r="B19" s="47"/>
      <c r="C19" s="47"/>
      <c r="D19" s="47"/>
      <c r="E19" s="47"/>
      <c r="F19" s="48"/>
      <c r="G19" s="49"/>
      <c r="H19" s="56"/>
      <c r="I19" s="47"/>
      <c r="J19" s="47"/>
      <c r="K19" s="21"/>
      <c r="L19" s="23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1:35" ht="12.75" customHeight="1" x14ac:dyDescent="0.25">
      <c r="A20" s="47"/>
      <c r="B20" s="47"/>
      <c r="C20" s="47"/>
      <c r="D20" s="47"/>
      <c r="E20" s="47"/>
      <c r="F20" s="48"/>
      <c r="G20" s="49"/>
      <c r="H20" s="58"/>
      <c r="I20" s="47"/>
      <c r="J20" s="47"/>
      <c r="K20" s="21"/>
      <c r="L20" s="23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1:35" ht="12.75" customHeight="1" x14ac:dyDescent="0.25">
      <c r="A21" s="47"/>
      <c r="B21" s="47"/>
      <c r="C21" s="47"/>
      <c r="D21" s="47"/>
      <c r="E21" s="47"/>
      <c r="F21" s="48"/>
      <c r="G21" s="49"/>
      <c r="H21" s="58"/>
      <c r="I21" s="47"/>
      <c r="J21" s="47"/>
      <c r="K21" s="21"/>
      <c r="L21" s="23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</row>
    <row r="22" spans="1:35" ht="12.75" customHeight="1" x14ac:dyDescent="0.25">
      <c r="A22" s="47"/>
      <c r="B22" s="47"/>
      <c r="C22" s="47"/>
      <c r="D22" s="47"/>
      <c r="E22" s="47"/>
      <c r="F22" s="60"/>
      <c r="G22" s="49"/>
      <c r="H22" s="58"/>
      <c r="I22" s="47"/>
      <c r="J22" s="47"/>
      <c r="K22" s="21"/>
      <c r="L22" s="2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1:35" ht="12.75" customHeight="1" x14ac:dyDescent="0.25">
      <c r="A23" s="47"/>
      <c r="B23" s="47"/>
      <c r="C23" s="47"/>
      <c r="D23" s="47"/>
      <c r="E23" s="47"/>
      <c r="F23" s="48"/>
      <c r="G23" s="49"/>
      <c r="H23" s="58"/>
      <c r="I23" s="47"/>
      <c r="J23" s="47"/>
      <c r="K23" s="21"/>
      <c r="L23" s="2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5" ht="12.75" customHeight="1" x14ac:dyDescent="0.25">
      <c r="A24" s="47"/>
      <c r="B24" s="47"/>
      <c r="C24" s="47"/>
      <c r="D24" s="47"/>
      <c r="E24" s="47"/>
      <c r="F24" s="48"/>
      <c r="G24" s="49"/>
      <c r="H24" s="58"/>
      <c r="I24" s="47"/>
      <c r="J24" s="47"/>
      <c r="K24" s="21"/>
      <c r="L24" s="2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</row>
    <row r="25" spans="1:35" ht="12.75" customHeight="1" x14ac:dyDescent="0.25">
      <c r="A25" s="47"/>
      <c r="B25" s="47"/>
      <c r="C25" s="47"/>
      <c r="D25" s="47"/>
      <c r="E25" s="47"/>
      <c r="F25" s="48"/>
      <c r="G25" s="49"/>
      <c r="H25" s="58"/>
      <c r="I25" s="47"/>
      <c r="J25" s="47"/>
      <c r="K25" s="21"/>
      <c r="L25" s="2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1:35" ht="12.75" customHeight="1" x14ac:dyDescent="0.25">
      <c r="A26" s="50"/>
      <c r="B26" s="50"/>
      <c r="C26" s="50"/>
      <c r="D26" s="50"/>
      <c r="E26" s="50"/>
      <c r="F26" s="51"/>
      <c r="G26" s="52"/>
      <c r="H26" s="61"/>
      <c r="I26" s="50"/>
      <c r="J26" s="62"/>
      <c r="K26" s="21"/>
      <c r="L26" s="2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</row>
    <row r="27" spans="1:35" ht="12.75" customHeight="1" x14ac:dyDescent="0.25">
      <c r="A27" s="50"/>
      <c r="B27" s="50"/>
      <c r="C27" s="50"/>
      <c r="D27" s="50"/>
      <c r="E27" s="62"/>
      <c r="F27" s="51"/>
      <c r="G27" s="52"/>
      <c r="H27" s="63"/>
      <c r="I27" s="50"/>
      <c r="J27" s="50"/>
      <c r="K27" s="21"/>
      <c r="L27" s="2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</row>
    <row r="28" spans="1:35" ht="12.75" customHeight="1" x14ac:dyDescent="0.25">
      <c r="A28" s="50"/>
      <c r="B28" s="50"/>
      <c r="C28" s="50"/>
      <c r="D28" s="50"/>
      <c r="E28" s="50"/>
      <c r="F28" s="51"/>
      <c r="G28" s="52"/>
      <c r="H28" s="63"/>
      <c r="I28" s="50"/>
      <c r="J28" s="50"/>
      <c r="K28" s="21"/>
      <c r="L28" s="2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1:35" ht="12.75" customHeight="1" x14ac:dyDescent="0.25">
      <c r="A29" s="50"/>
      <c r="B29" s="50"/>
      <c r="C29" s="50"/>
      <c r="D29" s="50"/>
      <c r="E29" s="50"/>
      <c r="F29" s="51"/>
      <c r="G29" s="52"/>
      <c r="H29" s="52"/>
      <c r="I29" s="50"/>
      <c r="J29" s="50"/>
      <c r="K29" s="21"/>
      <c r="L29" s="2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</row>
    <row r="30" spans="1:35" ht="12.75" customHeight="1" x14ac:dyDescent="0.25">
      <c r="A30" s="50"/>
      <c r="B30" s="50"/>
      <c r="C30" s="50"/>
      <c r="D30" s="50"/>
      <c r="E30" s="50"/>
      <c r="F30" s="51"/>
      <c r="G30" s="52"/>
      <c r="H30" s="63"/>
      <c r="I30" s="50"/>
      <c r="J30" s="50"/>
      <c r="K30" s="21"/>
      <c r="L30" s="2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</row>
    <row r="31" spans="1:35" ht="12.75" customHeight="1" x14ac:dyDescent="0.25">
      <c r="A31" s="50"/>
      <c r="B31" s="50"/>
      <c r="C31" s="50"/>
      <c r="D31" s="50"/>
      <c r="E31" s="50"/>
      <c r="F31" s="51"/>
      <c r="G31" s="52"/>
      <c r="H31" s="63"/>
      <c r="I31" s="50"/>
      <c r="J31" s="50"/>
      <c r="K31" s="21"/>
      <c r="L31" s="2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1:35" ht="12.75" customHeight="1" x14ac:dyDescent="0.25">
      <c r="A32" s="50"/>
      <c r="B32" s="50"/>
      <c r="C32" s="50"/>
      <c r="D32" s="50"/>
      <c r="E32" s="50"/>
      <c r="F32" s="51"/>
      <c r="G32" s="52"/>
      <c r="H32" s="52"/>
      <c r="I32" s="50"/>
      <c r="J32" s="50"/>
      <c r="K32" s="21"/>
      <c r="L32" s="2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1:35" ht="12.75" customHeight="1" x14ac:dyDescent="0.25">
      <c r="A33" s="50"/>
      <c r="B33" s="50"/>
      <c r="C33" s="50"/>
      <c r="D33" s="50"/>
      <c r="E33" s="50"/>
      <c r="F33" s="51"/>
      <c r="G33" s="52"/>
      <c r="H33" s="64"/>
      <c r="I33" s="50"/>
      <c r="J33" s="50"/>
      <c r="K33" s="21"/>
      <c r="L33" s="23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</row>
    <row r="34" spans="1:35" ht="12.75" customHeight="1" x14ac:dyDescent="0.25">
      <c r="A34" s="50"/>
      <c r="B34" s="50"/>
      <c r="C34" s="50"/>
      <c r="D34" s="50"/>
      <c r="E34" s="50"/>
      <c r="F34" s="51"/>
      <c r="G34" s="52"/>
      <c r="H34" s="64"/>
      <c r="I34" s="50"/>
      <c r="J34" s="50"/>
      <c r="K34" s="21"/>
      <c r="L34" s="2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1:35" ht="12.75" customHeight="1" x14ac:dyDescent="0.25">
      <c r="A35" s="50"/>
      <c r="B35" s="50"/>
      <c r="C35" s="50"/>
      <c r="D35" s="50"/>
      <c r="E35" s="50"/>
      <c r="F35" s="51"/>
      <c r="G35" s="52"/>
      <c r="H35" s="64"/>
      <c r="I35" s="50"/>
      <c r="J35" s="50"/>
      <c r="K35" s="21"/>
      <c r="L35" s="2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</row>
    <row r="36" spans="1:35" ht="12.75" customHeight="1" x14ac:dyDescent="0.25">
      <c r="A36" s="50"/>
      <c r="B36" s="50"/>
      <c r="C36" s="50"/>
      <c r="D36" s="50"/>
      <c r="E36" s="50"/>
      <c r="F36" s="51"/>
      <c r="G36" s="52"/>
      <c r="H36" s="64"/>
      <c r="I36" s="50"/>
      <c r="J36" s="50"/>
      <c r="K36" s="21"/>
      <c r="L36" s="23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</row>
    <row r="37" spans="1:35" ht="12.75" customHeight="1" x14ac:dyDescent="0.25">
      <c r="A37" s="50"/>
      <c r="B37" s="50"/>
      <c r="C37" s="50"/>
      <c r="D37" s="50"/>
      <c r="E37" s="50"/>
      <c r="F37" s="51"/>
      <c r="G37" s="52"/>
      <c r="H37" s="64"/>
      <c r="I37" s="50"/>
      <c r="J37" s="50"/>
      <c r="K37" s="21"/>
      <c r="L37" s="2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1:35" ht="12.75" customHeight="1" x14ac:dyDescent="0.25">
      <c r="A38" s="50"/>
      <c r="B38" s="50"/>
      <c r="C38" s="50"/>
      <c r="D38" s="50"/>
      <c r="E38" s="50"/>
      <c r="F38" s="51"/>
      <c r="G38" s="52"/>
      <c r="H38" s="63"/>
      <c r="I38" s="50"/>
      <c r="J38" s="50"/>
      <c r="K38" s="21"/>
      <c r="L38" s="2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</row>
    <row r="39" spans="1:35" ht="12.75" customHeight="1" x14ac:dyDescent="0.25">
      <c r="A39" s="50"/>
      <c r="B39" s="50"/>
      <c r="C39" s="50"/>
      <c r="D39" s="50"/>
      <c r="E39" s="50"/>
      <c r="F39" s="51"/>
      <c r="G39" s="52"/>
      <c r="H39" s="63"/>
      <c r="I39" s="50"/>
      <c r="J39" s="50"/>
      <c r="K39" s="21"/>
      <c r="L39" s="23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</row>
    <row r="40" spans="1:35" ht="12.75" customHeight="1" x14ac:dyDescent="0.25">
      <c r="A40" s="50"/>
      <c r="B40" s="50"/>
      <c r="C40" s="50"/>
      <c r="D40" s="50"/>
      <c r="E40" s="50"/>
      <c r="F40" s="51"/>
      <c r="G40" s="52"/>
      <c r="H40" s="52"/>
      <c r="I40" s="50"/>
      <c r="J40" s="50"/>
      <c r="K40" s="21"/>
      <c r="L40" s="23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1:35" ht="12.75" customHeight="1" x14ac:dyDescent="0.25">
      <c r="A41" s="50"/>
      <c r="B41" s="50"/>
      <c r="C41" s="50"/>
      <c r="D41" s="50"/>
      <c r="E41" s="50"/>
      <c r="F41" s="51"/>
      <c r="G41" s="52"/>
      <c r="H41" s="63"/>
      <c r="I41" s="50"/>
      <c r="J41" s="50"/>
      <c r="K41" s="21"/>
      <c r="L41" s="23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</row>
    <row r="42" spans="1:35" ht="12.75" customHeight="1" x14ac:dyDescent="0.25">
      <c r="A42" s="50"/>
      <c r="B42" s="50"/>
      <c r="C42" s="50"/>
      <c r="D42" s="50"/>
      <c r="E42" s="50"/>
      <c r="F42" s="51"/>
      <c r="G42" s="63"/>
      <c r="H42" s="63"/>
      <c r="I42" s="50"/>
      <c r="J42" s="50"/>
      <c r="K42" s="21"/>
      <c r="L42" s="23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1:35" ht="12.75" customHeight="1" x14ac:dyDescent="0.25">
      <c r="A43" s="50"/>
      <c r="B43" s="50"/>
      <c r="C43" s="50"/>
      <c r="D43" s="50"/>
      <c r="E43" s="50"/>
      <c r="F43" s="51"/>
      <c r="G43" s="52"/>
      <c r="H43" s="63"/>
      <c r="I43" s="50"/>
      <c r="J43" s="50"/>
      <c r="K43" s="21"/>
      <c r="L43" s="23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1:35" ht="12.75" customHeight="1" x14ac:dyDescent="0.25">
      <c r="A44" s="50"/>
      <c r="B44" s="50"/>
      <c r="C44" s="50"/>
      <c r="D44" s="50"/>
      <c r="E44" s="50"/>
      <c r="F44" s="51"/>
      <c r="G44" s="52"/>
      <c r="H44" s="63"/>
      <c r="I44" s="50"/>
      <c r="J44" s="50"/>
      <c r="K44" s="21"/>
      <c r="L44" s="23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1:35" ht="12.75" customHeight="1" x14ac:dyDescent="0.25">
      <c r="A45" s="50"/>
      <c r="B45" s="50"/>
      <c r="C45" s="50"/>
      <c r="D45" s="50"/>
      <c r="E45" s="50"/>
      <c r="F45" s="51"/>
      <c r="G45" s="52"/>
      <c r="H45" s="63"/>
      <c r="I45" s="50"/>
      <c r="J45" s="50"/>
      <c r="K45" s="21"/>
      <c r="L45" s="23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</row>
    <row r="46" spans="1:35" ht="12.75" customHeight="1" x14ac:dyDescent="0.25">
      <c r="A46" s="50"/>
      <c r="B46" s="50"/>
      <c r="C46" s="50"/>
      <c r="D46" s="50"/>
      <c r="E46" s="50"/>
      <c r="F46" s="51"/>
      <c r="G46" s="52"/>
      <c r="H46" s="63"/>
      <c r="I46" s="50"/>
      <c r="J46" s="50"/>
      <c r="K46" s="21"/>
      <c r="L46" s="23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1:35" ht="12.75" customHeight="1" x14ac:dyDescent="0.25">
      <c r="A47" s="50"/>
      <c r="B47" s="50"/>
      <c r="C47" s="50"/>
      <c r="D47" s="50"/>
      <c r="E47" s="50"/>
      <c r="F47" s="51"/>
      <c r="G47" s="61"/>
      <c r="H47" s="61"/>
      <c r="I47" s="50"/>
      <c r="J47" s="62"/>
      <c r="K47" s="21"/>
      <c r="L47" s="23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</row>
    <row r="48" spans="1:35" ht="12.75" customHeight="1" x14ac:dyDescent="0.25">
      <c r="A48" s="50"/>
      <c r="B48" s="50"/>
      <c r="C48" s="50"/>
      <c r="D48" s="50"/>
      <c r="E48" s="50"/>
      <c r="F48" s="51"/>
      <c r="G48" s="52"/>
      <c r="H48" s="63"/>
      <c r="I48" s="50"/>
      <c r="J48" s="50"/>
      <c r="K48" s="21"/>
      <c r="L48" s="23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</row>
    <row r="49" spans="1:35" ht="12.75" customHeight="1" x14ac:dyDescent="0.25">
      <c r="A49" s="50"/>
      <c r="B49" s="50"/>
      <c r="C49" s="50"/>
      <c r="D49" s="50"/>
      <c r="E49" s="50"/>
      <c r="F49" s="51"/>
      <c r="G49" s="52"/>
      <c r="H49" s="63"/>
      <c r="I49" s="50"/>
      <c r="J49" s="50"/>
      <c r="K49" s="21"/>
      <c r="L49" s="23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1:35" ht="12.75" customHeight="1" x14ac:dyDescent="0.25">
      <c r="A50" s="50"/>
      <c r="B50" s="50"/>
      <c r="C50" s="50"/>
      <c r="D50" s="50"/>
      <c r="E50" s="50"/>
      <c r="F50" s="51"/>
      <c r="G50" s="52"/>
      <c r="H50" s="63"/>
      <c r="I50" s="50"/>
      <c r="J50" s="50"/>
      <c r="K50" s="21"/>
      <c r="L50" s="23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</row>
    <row r="51" spans="1:35" ht="12.75" customHeight="1" x14ac:dyDescent="0.25">
      <c r="A51" s="50"/>
      <c r="B51" s="50"/>
      <c r="C51" s="50"/>
      <c r="D51" s="50"/>
      <c r="E51" s="50"/>
      <c r="F51" s="51"/>
      <c r="G51" s="52"/>
      <c r="H51" s="61"/>
      <c r="I51" s="50"/>
      <c r="J51" s="62"/>
      <c r="K51" s="21"/>
      <c r="L51" s="23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</row>
    <row r="52" spans="1:35" ht="12.75" customHeight="1" x14ac:dyDescent="0.25">
      <c r="A52" s="50"/>
      <c r="B52" s="50"/>
      <c r="C52" s="50"/>
      <c r="D52" s="50"/>
      <c r="E52" s="50"/>
      <c r="F52" s="51"/>
      <c r="G52" s="52"/>
      <c r="H52" s="63"/>
      <c r="I52" s="50"/>
      <c r="J52" s="50"/>
      <c r="K52" s="21"/>
      <c r="L52" s="2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1:35" ht="12.75" customHeight="1" x14ac:dyDescent="0.25">
      <c r="A53" s="50"/>
      <c r="B53" s="50"/>
      <c r="C53" s="50"/>
      <c r="D53" s="50"/>
      <c r="E53" s="50"/>
      <c r="F53" s="51"/>
      <c r="G53" s="63"/>
      <c r="H53" s="52"/>
      <c r="I53" s="50"/>
      <c r="J53" s="62"/>
      <c r="K53" s="21"/>
      <c r="L53" s="23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</row>
    <row r="54" spans="1:35" ht="12.75" customHeight="1" x14ac:dyDescent="0.25">
      <c r="A54" s="50"/>
      <c r="B54" s="50"/>
      <c r="C54" s="50"/>
      <c r="D54" s="50"/>
      <c r="E54" s="50"/>
      <c r="F54" s="51"/>
      <c r="G54" s="52"/>
      <c r="H54" s="63"/>
      <c r="I54" s="50"/>
      <c r="J54" s="50"/>
      <c r="K54" s="21"/>
      <c r="L54" s="23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1:35" ht="12.75" customHeight="1" x14ac:dyDescent="0.25">
      <c r="A55" s="50"/>
      <c r="B55" s="50"/>
      <c r="C55" s="50"/>
      <c r="D55" s="50"/>
      <c r="E55" s="50"/>
      <c r="F55" s="51"/>
      <c r="G55" s="52"/>
      <c r="H55" s="63"/>
      <c r="I55" s="50"/>
      <c r="J55" s="50"/>
      <c r="K55" s="21"/>
      <c r="L55" s="23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1:35" ht="12.75" customHeight="1" x14ac:dyDescent="0.25">
      <c r="A56" s="50"/>
      <c r="B56" s="50"/>
      <c r="C56" s="50"/>
      <c r="D56" s="50"/>
      <c r="E56" s="50"/>
      <c r="F56" s="51"/>
      <c r="G56" s="63"/>
      <c r="H56" s="52"/>
      <c r="I56" s="50"/>
      <c r="J56" s="62"/>
      <c r="K56" s="21"/>
      <c r="L56" s="23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1:35" ht="12.75" customHeight="1" x14ac:dyDescent="0.25">
      <c r="A57" s="50"/>
      <c r="B57" s="50"/>
      <c r="C57" s="50"/>
      <c r="D57" s="50"/>
      <c r="E57" s="50"/>
      <c r="F57" s="65"/>
      <c r="G57" s="52"/>
      <c r="H57" s="63"/>
      <c r="I57" s="50"/>
      <c r="J57" s="50"/>
      <c r="K57" s="21"/>
      <c r="L57" s="23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</row>
    <row r="58" spans="1:35" ht="12.75" customHeight="1" x14ac:dyDescent="0.25">
      <c r="A58" s="53"/>
      <c r="B58" s="53"/>
      <c r="C58" s="53"/>
      <c r="D58" s="53"/>
      <c r="E58" s="53"/>
      <c r="F58" s="53"/>
      <c r="G58" s="54"/>
      <c r="H58" s="54"/>
      <c r="I58" s="53"/>
      <c r="J58" s="53"/>
      <c r="K58" s="21"/>
      <c r="L58" s="23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1:35" ht="12.75" customHeight="1" x14ac:dyDescent="0.25">
      <c r="A59" s="53"/>
      <c r="B59" s="53"/>
      <c r="C59" s="53"/>
      <c r="D59" s="53"/>
      <c r="E59" s="53"/>
      <c r="F59" s="53"/>
      <c r="G59" s="54"/>
      <c r="H59" s="54"/>
      <c r="I59" s="53"/>
      <c r="J59" s="53"/>
      <c r="K59" s="21"/>
      <c r="L59" s="23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</row>
    <row r="60" spans="1:35" ht="12.75" customHeight="1" x14ac:dyDescent="0.25">
      <c r="A60" s="53"/>
      <c r="B60" s="53"/>
      <c r="C60" s="53"/>
      <c r="D60" s="53"/>
      <c r="E60" s="53"/>
      <c r="F60" s="53"/>
      <c r="G60" s="54"/>
      <c r="H60" s="54"/>
      <c r="I60" s="53"/>
      <c r="J60" s="53"/>
      <c r="K60" s="21"/>
      <c r="L60" s="23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</row>
    <row r="61" spans="1:35" ht="12.75" customHeight="1" x14ac:dyDescent="0.25">
      <c r="A61" s="53"/>
      <c r="B61" s="53"/>
      <c r="C61" s="53"/>
      <c r="D61" s="53"/>
      <c r="E61" s="53"/>
      <c r="F61" s="53"/>
      <c r="G61" s="54"/>
      <c r="H61" s="54"/>
      <c r="I61" s="53"/>
      <c r="J61" s="53"/>
      <c r="K61" s="21"/>
      <c r="L61" s="23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1:35" ht="12.75" customHeight="1" x14ac:dyDescent="0.25">
      <c r="A62" s="53"/>
      <c r="B62" s="53"/>
      <c r="C62" s="53"/>
      <c r="D62" s="53"/>
      <c r="E62" s="53"/>
      <c r="F62" s="53"/>
      <c r="G62" s="54"/>
      <c r="H62" s="54"/>
      <c r="I62" s="53"/>
      <c r="J62" s="53"/>
      <c r="K62" s="21"/>
      <c r="L62" s="23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</row>
    <row r="63" spans="1:35" ht="12.75" customHeight="1" x14ac:dyDescent="0.25">
      <c r="A63" s="53"/>
      <c r="B63" s="53"/>
      <c r="C63" s="53"/>
      <c r="D63" s="53"/>
      <c r="E63" s="53"/>
      <c r="F63" s="53"/>
      <c r="G63" s="54"/>
      <c r="H63" s="54"/>
      <c r="I63" s="53"/>
      <c r="J63" s="53"/>
      <c r="K63" s="21"/>
      <c r="L63" s="23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</row>
    <row r="64" spans="1:35" ht="12.75" customHeight="1" x14ac:dyDescent="0.25">
      <c r="A64" s="53"/>
      <c r="B64" s="53"/>
      <c r="C64" s="53"/>
      <c r="D64" s="53"/>
      <c r="E64" s="53"/>
      <c r="F64" s="53"/>
      <c r="G64" s="54"/>
      <c r="H64" s="54"/>
      <c r="I64" s="53"/>
      <c r="J64" s="53"/>
      <c r="K64" s="21"/>
      <c r="L64" s="23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1:35" ht="12.75" customHeight="1" x14ac:dyDescent="0.25">
      <c r="A65" s="53"/>
      <c r="B65" s="53"/>
      <c r="C65" s="53"/>
      <c r="D65" s="53"/>
      <c r="E65" s="53"/>
      <c r="F65" s="53"/>
      <c r="G65" s="54"/>
      <c r="H65" s="54"/>
      <c r="I65" s="53"/>
      <c r="J65" s="53"/>
      <c r="K65" s="21"/>
      <c r="L65" s="23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</row>
    <row r="66" spans="1:35" ht="12.75" customHeight="1" x14ac:dyDescent="0.25">
      <c r="A66" s="53"/>
      <c r="B66" s="53"/>
      <c r="C66" s="53"/>
      <c r="D66" s="53"/>
      <c r="E66" s="53"/>
      <c r="F66" s="53"/>
      <c r="G66" s="54"/>
      <c r="H66" s="54"/>
      <c r="I66" s="53"/>
      <c r="J66" s="53"/>
      <c r="K66" s="21"/>
      <c r="L66" s="23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1:35" ht="12.75" customHeight="1" x14ac:dyDescent="0.25">
      <c r="A67" s="53"/>
      <c r="B67" s="53"/>
      <c r="C67" s="53"/>
      <c r="D67" s="53"/>
      <c r="E67" s="53"/>
      <c r="F67" s="53"/>
      <c r="G67" s="54"/>
      <c r="H67" s="54"/>
      <c r="I67" s="53"/>
      <c r="J67" s="53"/>
      <c r="K67" s="21"/>
      <c r="L67" s="23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1:35" ht="12.75" customHeight="1" x14ac:dyDescent="0.25">
      <c r="A68" s="53"/>
      <c r="B68" s="53"/>
      <c r="C68" s="53"/>
      <c r="D68" s="53"/>
      <c r="E68" s="53"/>
      <c r="F68" s="53"/>
      <c r="G68" s="54"/>
      <c r="H68" s="54"/>
      <c r="I68" s="53"/>
      <c r="J68" s="53"/>
      <c r="K68" s="21"/>
      <c r="L68" s="23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</row>
    <row r="69" spans="1:35" ht="12.75" customHeight="1" x14ac:dyDescent="0.25">
      <c r="A69" s="53"/>
      <c r="B69" s="53"/>
      <c r="C69" s="53"/>
      <c r="D69" s="53"/>
      <c r="E69" s="53"/>
      <c r="F69" s="53"/>
      <c r="G69" s="54"/>
      <c r="H69" s="54"/>
      <c r="I69" s="53"/>
      <c r="J69" s="53"/>
      <c r="K69" s="21"/>
      <c r="L69" s="23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</row>
    <row r="70" spans="1:35" ht="12.75" customHeight="1" x14ac:dyDescent="0.25">
      <c r="A70" s="53"/>
      <c r="B70" s="53"/>
      <c r="C70" s="53"/>
      <c r="D70" s="53"/>
      <c r="E70" s="53"/>
      <c r="F70" s="53"/>
      <c r="G70" s="54"/>
      <c r="H70" s="54"/>
      <c r="I70" s="53"/>
      <c r="J70" s="53"/>
      <c r="K70" s="21"/>
      <c r="L70" s="23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</row>
    <row r="71" spans="1:35" ht="12.75" customHeight="1" x14ac:dyDescent="0.25">
      <c r="A71" s="53"/>
      <c r="B71" s="53"/>
      <c r="C71" s="53"/>
      <c r="D71" s="53"/>
      <c r="E71" s="53"/>
      <c r="F71" s="53"/>
      <c r="G71" s="54"/>
      <c r="H71" s="54"/>
      <c r="I71" s="53"/>
      <c r="J71" s="53"/>
      <c r="K71" s="21"/>
      <c r="L71" s="23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1:35" ht="12.75" customHeight="1" x14ac:dyDescent="0.25">
      <c r="A72" s="53"/>
      <c r="B72" s="53"/>
      <c r="C72" s="53"/>
      <c r="D72" s="53"/>
      <c r="E72" s="53"/>
      <c r="F72" s="53"/>
      <c r="G72" s="54"/>
      <c r="H72" s="54"/>
      <c r="I72" s="53"/>
      <c r="J72" s="53"/>
      <c r="K72" s="21"/>
      <c r="L72" s="23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1:35" ht="12.75" customHeight="1" x14ac:dyDescent="0.25">
      <c r="A73" s="53"/>
      <c r="B73" s="53"/>
      <c r="C73" s="53"/>
      <c r="D73" s="53"/>
      <c r="E73" s="53"/>
      <c r="F73" s="53"/>
      <c r="G73" s="54"/>
      <c r="H73" s="54"/>
      <c r="I73" s="53"/>
      <c r="J73" s="53"/>
      <c r="K73" s="21"/>
      <c r="L73" s="23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</row>
    <row r="74" spans="1:35" ht="12.75" customHeight="1" x14ac:dyDescent="0.25">
      <c r="A74" s="53"/>
      <c r="B74" s="53"/>
      <c r="C74" s="53"/>
      <c r="D74" s="53"/>
      <c r="E74" s="53"/>
      <c r="F74" s="53"/>
      <c r="G74" s="54"/>
      <c r="H74" s="54"/>
      <c r="I74" s="53"/>
      <c r="J74" s="53"/>
      <c r="K74" s="21"/>
      <c r="L74" s="23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</row>
    <row r="75" spans="1:35" ht="12.75" customHeight="1" x14ac:dyDescent="0.25">
      <c r="A75" s="53"/>
      <c r="B75" s="53"/>
      <c r="C75" s="53"/>
      <c r="D75" s="53"/>
      <c r="E75" s="53"/>
      <c r="F75" s="53"/>
      <c r="G75" s="54"/>
      <c r="H75" s="54"/>
      <c r="I75" s="53"/>
      <c r="J75" s="53"/>
      <c r="K75" s="21"/>
      <c r="L75" s="23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1:35" ht="12.75" customHeight="1" x14ac:dyDescent="0.25">
      <c r="A76" s="53"/>
      <c r="B76" s="53"/>
      <c r="C76" s="53"/>
      <c r="D76" s="53"/>
      <c r="E76" s="53"/>
      <c r="F76" s="53"/>
      <c r="G76" s="54"/>
      <c r="H76" s="54"/>
      <c r="I76" s="53"/>
      <c r="J76" s="53"/>
      <c r="K76" s="21"/>
      <c r="L76" s="23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1:35" ht="12.75" customHeight="1" x14ac:dyDescent="0.25">
      <c r="A77" s="53"/>
      <c r="B77" s="53"/>
      <c r="C77" s="53"/>
      <c r="D77" s="53"/>
      <c r="E77" s="53"/>
      <c r="F77" s="53"/>
      <c r="G77" s="54"/>
      <c r="H77" s="54"/>
      <c r="I77" s="53"/>
      <c r="J77" s="53"/>
      <c r="K77" s="21"/>
      <c r="L77" s="23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</row>
    <row r="78" spans="1:35" ht="12.75" customHeight="1" x14ac:dyDescent="0.25">
      <c r="A78" s="53"/>
      <c r="B78" s="53"/>
      <c r="C78" s="53"/>
      <c r="D78" s="53"/>
      <c r="E78" s="53"/>
      <c r="F78" s="53"/>
      <c r="G78" s="54"/>
      <c r="H78" s="54"/>
      <c r="I78" s="53"/>
      <c r="J78" s="53"/>
      <c r="K78" s="21"/>
      <c r="L78" s="23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</row>
    <row r="79" spans="1:35" ht="12.75" customHeight="1" x14ac:dyDescent="0.25">
      <c r="A79" s="53"/>
      <c r="B79" s="53"/>
      <c r="C79" s="53"/>
      <c r="D79" s="53"/>
      <c r="E79" s="53"/>
      <c r="F79" s="53"/>
      <c r="G79" s="54"/>
      <c r="H79" s="54"/>
      <c r="I79" s="53"/>
      <c r="J79" s="53"/>
      <c r="K79" s="21"/>
      <c r="L79" s="23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1:35" ht="12.75" customHeight="1" x14ac:dyDescent="0.25">
      <c r="A80" s="53"/>
      <c r="B80" s="53"/>
      <c r="C80" s="53"/>
      <c r="D80" s="53"/>
      <c r="E80" s="53"/>
      <c r="F80" s="53"/>
      <c r="G80" s="54"/>
      <c r="H80" s="54"/>
      <c r="I80" s="53"/>
      <c r="J80" s="53"/>
      <c r="K80" s="21"/>
      <c r="L80" s="23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1:35" ht="12.75" customHeight="1" x14ac:dyDescent="0.25">
      <c r="A81" s="53"/>
      <c r="B81" s="53"/>
      <c r="C81" s="53"/>
      <c r="D81" s="53"/>
      <c r="E81" s="53"/>
      <c r="F81" s="53"/>
      <c r="G81" s="54"/>
      <c r="H81" s="54"/>
      <c r="I81" s="53"/>
      <c r="J81" s="53"/>
      <c r="K81" s="21"/>
      <c r="L81" s="23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</row>
    <row r="82" spans="1:35" ht="12.75" customHeight="1" x14ac:dyDescent="0.25">
      <c r="A82" s="53"/>
      <c r="B82" s="53"/>
      <c r="C82" s="53"/>
      <c r="D82" s="53"/>
      <c r="E82" s="53"/>
      <c r="F82" s="53"/>
      <c r="G82" s="54"/>
      <c r="H82" s="54"/>
      <c r="I82" s="53"/>
      <c r="J82" s="53"/>
      <c r="K82" s="21"/>
      <c r="L82" s="23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</row>
    <row r="83" spans="1:35" ht="12.75" customHeight="1" x14ac:dyDescent="0.25">
      <c r="A83" s="53"/>
      <c r="B83" s="53"/>
      <c r="C83" s="53"/>
      <c r="D83" s="53"/>
      <c r="E83" s="53"/>
      <c r="F83" s="53"/>
      <c r="G83" s="54"/>
      <c r="H83" s="54"/>
      <c r="I83" s="53"/>
      <c r="J83" s="53"/>
      <c r="K83" s="21"/>
      <c r="L83" s="23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1:35" ht="12.75" customHeight="1" x14ac:dyDescent="0.25">
      <c r="A84" s="53"/>
      <c r="B84" s="53"/>
      <c r="C84" s="53"/>
      <c r="D84" s="53"/>
      <c r="E84" s="53"/>
      <c r="F84" s="53"/>
      <c r="G84" s="54"/>
      <c r="H84" s="54"/>
      <c r="I84" s="53"/>
      <c r="J84" s="53"/>
      <c r="K84" s="21"/>
      <c r="L84" s="23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1:35" ht="12.75" customHeight="1" x14ac:dyDescent="0.25">
      <c r="A85" s="53"/>
      <c r="B85" s="53"/>
      <c r="C85" s="53"/>
      <c r="D85" s="53"/>
      <c r="E85" s="53"/>
      <c r="F85" s="53"/>
      <c r="G85" s="54"/>
      <c r="H85" s="54"/>
      <c r="I85" s="53"/>
      <c r="J85" s="53"/>
      <c r="K85" s="21"/>
      <c r="L85" s="23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</row>
    <row r="86" spans="1:35" ht="12.75" customHeight="1" x14ac:dyDescent="0.25">
      <c r="A86" s="53"/>
      <c r="B86" s="53"/>
      <c r="C86" s="53"/>
      <c r="D86" s="53"/>
      <c r="E86" s="53"/>
      <c r="F86" s="53"/>
      <c r="G86" s="54"/>
      <c r="H86" s="54"/>
      <c r="I86" s="53"/>
      <c r="J86" s="53"/>
      <c r="K86" s="21"/>
      <c r="L86" s="23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</row>
    <row r="87" spans="1:35" ht="12.75" customHeight="1" x14ac:dyDescent="0.25">
      <c r="A87" s="53"/>
      <c r="B87" s="53"/>
      <c r="C87" s="53"/>
      <c r="D87" s="53"/>
      <c r="E87" s="53"/>
      <c r="F87" s="53"/>
      <c r="G87" s="54"/>
      <c r="H87" s="54"/>
      <c r="I87" s="53"/>
      <c r="J87" s="53"/>
      <c r="K87" s="21"/>
      <c r="L87" s="23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</row>
    <row r="88" spans="1:35" ht="12.75" customHeight="1" x14ac:dyDescent="0.25">
      <c r="A88" s="53"/>
      <c r="B88" s="53"/>
      <c r="C88" s="53"/>
      <c r="D88" s="53"/>
      <c r="E88" s="53"/>
      <c r="F88" s="53"/>
      <c r="G88" s="54"/>
      <c r="H88" s="54"/>
      <c r="I88" s="53"/>
      <c r="J88" s="53"/>
      <c r="K88" s="21"/>
      <c r="L88" s="23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</row>
    <row r="89" spans="1:35" ht="12.75" customHeight="1" x14ac:dyDescent="0.25">
      <c r="A89" s="53"/>
      <c r="B89" s="53"/>
      <c r="C89" s="53"/>
      <c r="D89" s="53"/>
      <c r="E89" s="53"/>
      <c r="F89" s="53"/>
      <c r="G89" s="54"/>
      <c r="H89" s="54"/>
      <c r="I89" s="53"/>
      <c r="J89" s="53"/>
      <c r="K89" s="21"/>
      <c r="L89" s="23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</row>
    <row r="90" spans="1:35" ht="12.75" customHeight="1" x14ac:dyDescent="0.25">
      <c r="A90" s="53"/>
      <c r="B90" s="53"/>
      <c r="C90" s="53"/>
      <c r="D90" s="53"/>
      <c r="E90" s="53"/>
      <c r="F90" s="53"/>
      <c r="G90" s="54"/>
      <c r="H90" s="54"/>
      <c r="I90" s="53"/>
      <c r="J90" s="53"/>
      <c r="K90" s="21"/>
      <c r="L90" s="23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1:35" ht="12.75" customHeight="1" x14ac:dyDescent="0.25">
      <c r="A91" s="53"/>
      <c r="B91" s="53"/>
      <c r="C91" s="53"/>
      <c r="D91" s="53"/>
      <c r="E91" s="53"/>
      <c r="F91" s="53"/>
      <c r="G91" s="54"/>
      <c r="H91" s="54"/>
      <c r="I91" s="53"/>
      <c r="J91" s="53"/>
      <c r="K91" s="21"/>
      <c r="L91" s="23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</row>
    <row r="92" spans="1:35" ht="12.75" customHeight="1" x14ac:dyDescent="0.25">
      <c r="A92" s="53"/>
      <c r="B92" s="53"/>
      <c r="C92" s="53"/>
      <c r="D92" s="53"/>
      <c r="E92" s="53"/>
      <c r="F92" s="53"/>
      <c r="G92" s="54"/>
      <c r="H92" s="54"/>
      <c r="I92" s="53"/>
      <c r="J92" s="53"/>
      <c r="K92" s="21"/>
      <c r="L92" s="23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</row>
    <row r="93" spans="1:35" ht="12.75" customHeight="1" x14ac:dyDescent="0.25">
      <c r="A93" s="53"/>
      <c r="B93" s="53"/>
      <c r="C93" s="53"/>
      <c r="D93" s="53"/>
      <c r="E93" s="53"/>
      <c r="F93" s="53"/>
      <c r="G93" s="54"/>
      <c r="H93" s="54"/>
      <c r="I93" s="53"/>
      <c r="J93" s="53"/>
      <c r="K93" s="21"/>
      <c r="L93" s="23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</row>
    <row r="94" spans="1:35" ht="12.75" customHeight="1" x14ac:dyDescent="0.25">
      <c r="A94" s="53"/>
      <c r="B94" s="53"/>
      <c r="C94" s="53"/>
      <c r="D94" s="53"/>
      <c r="E94" s="53"/>
      <c r="F94" s="53"/>
      <c r="G94" s="54"/>
      <c r="H94" s="54"/>
      <c r="I94" s="53"/>
      <c r="J94" s="53"/>
      <c r="K94" s="21"/>
      <c r="L94" s="23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</row>
    <row r="95" spans="1:35" ht="12.75" customHeight="1" x14ac:dyDescent="0.25">
      <c r="A95" s="53"/>
      <c r="B95" s="53"/>
      <c r="C95" s="53"/>
      <c r="D95" s="53"/>
      <c r="E95" s="53"/>
      <c r="F95" s="53"/>
      <c r="G95" s="54"/>
      <c r="H95" s="54"/>
      <c r="I95" s="53"/>
      <c r="J95" s="53"/>
      <c r="K95" s="21"/>
      <c r="L95" s="23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</row>
    <row r="96" spans="1:35" ht="12.75" customHeight="1" x14ac:dyDescent="0.25">
      <c r="A96" s="53"/>
      <c r="B96" s="53"/>
      <c r="C96" s="53"/>
      <c r="D96" s="53"/>
      <c r="E96" s="53"/>
      <c r="F96" s="53"/>
      <c r="G96" s="54"/>
      <c r="H96" s="54"/>
      <c r="I96" s="53"/>
      <c r="J96" s="53"/>
      <c r="K96" s="21"/>
      <c r="L96" s="23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</row>
    <row r="97" spans="1:35" ht="12.75" customHeight="1" x14ac:dyDescent="0.25">
      <c r="A97" s="53"/>
      <c r="B97" s="53"/>
      <c r="C97" s="53"/>
      <c r="D97" s="53"/>
      <c r="E97" s="53"/>
      <c r="F97" s="53"/>
      <c r="G97" s="54"/>
      <c r="H97" s="54"/>
      <c r="I97" s="53"/>
      <c r="J97" s="53"/>
      <c r="K97" s="21"/>
      <c r="L97" s="23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</row>
    <row r="98" spans="1:35" ht="12.75" customHeight="1" x14ac:dyDescent="0.25">
      <c r="A98" s="53"/>
      <c r="B98" s="53"/>
      <c r="C98" s="53"/>
      <c r="D98" s="53"/>
      <c r="E98" s="53"/>
      <c r="F98" s="53"/>
      <c r="G98" s="54"/>
      <c r="H98" s="54"/>
      <c r="I98" s="53"/>
      <c r="J98" s="53"/>
      <c r="K98" s="21"/>
      <c r="L98" s="23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</row>
    <row r="99" spans="1:35" ht="12.75" customHeight="1" x14ac:dyDescent="0.25">
      <c r="A99" s="53"/>
      <c r="B99" s="53"/>
      <c r="C99" s="53"/>
      <c r="D99" s="53"/>
      <c r="E99" s="53"/>
      <c r="F99" s="53"/>
      <c r="G99" s="54"/>
      <c r="H99" s="54"/>
      <c r="I99" s="53"/>
      <c r="J99" s="53"/>
      <c r="K99" s="21"/>
      <c r="L99" s="23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</row>
    <row r="100" spans="1:35" ht="12.75" customHeight="1" x14ac:dyDescent="0.25">
      <c r="A100" s="53"/>
      <c r="B100" s="53"/>
      <c r="C100" s="53"/>
      <c r="D100" s="53"/>
      <c r="E100" s="53"/>
      <c r="F100" s="53"/>
      <c r="G100" s="54"/>
      <c r="H100" s="54"/>
      <c r="I100" s="53"/>
      <c r="J100" s="53"/>
      <c r="K100" s="21"/>
      <c r="L100" s="23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</row>
    <row r="101" spans="1:35" ht="12.75" customHeight="1" x14ac:dyDescent="0.25">
      <c r="A101" s="53"/>
      <c r="B101" s="53"/>
      <c r="C101" s="53"/>
      <c r="D101" s="53"/>
      <c r="E101" s="53"/>
      <c r="F101" s="53"/>
      <c r="G101" s="54"/>
      <c r="H101" s="54"/>
      <c r="I101" s="53"/>
      <c r="J101" s="53"/>
      <c r="K101" s="21"/>
      <c r="L101" s="23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</row>
    <row r="102" spans="1:35" ht="12.75" customHeight="1" x14ac:dyDescent="0.25">
      <c r="A102" s="53"/>
      <c r="B102" s="53"/>
      <c r="C102" s="53"/>
      <c r="D102" s="53"/>
      <c r="E102" s="53"/>
      <c r="F102" s="53"/>
      <c r="G102" s="54"/>
      <c r="H102" s="54"/>
      <c r="I102" s="53"/>
      <c r="J102" s="53"/>
      <c r="K102" s="21"/>
      <c r="L102" s="23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</row>
    <row r="103" spans="1:35" ht="12.75" customHeight="1" x14ac:dyDescent="0.25">
      <c r="A103" s="53"/>
      <c r="B103" s="53"/>
      <c r="C103" s="53"/>
      <c r="D103" s="53"/>
      <c r="E103" s="53"/>
      <c r="F103" s="53"/>
      <c r="G103" s="54"/>
      <c r="H103" s="54"/>
      <c r="I103" s="53"/>
      <c r="J103" s="53"/>
      <c r="K103" s="21"/>
      <c r="L103" s="23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</row>
    <row r="104" spans="1:35" ht="12.75" customHeight="1" x14ac:dyDescent="0.25">
      <c r="A104" s="53"/>
      <c r="B104" s="53"/>
      <c r="C104" s="53"/>
      <c r="D104" s="53"/>
      <c r="E104" s="53"/>
      <c r="F104" s="53"/>
      <c r="G104" s="54"/>
      <c r="H104" s="54"/>
      <c r="I104" s="53"/>
      <c r="J104" s="53"/>
      <c r="K104" s="21"/>
      <c r="L104" s="23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</row>
    <row r="105" spans="1:35" ht="12.75" customHeight="1" x14ac:dyDescent="0.25">
      <c r="A105" s="53"/>
      <c r="B105" s="53"/>
      <c r="C105" s="53"/>
      <c r="D105" s="53"/>
      <c r="E105" s="53"/>
      <c r="F105" s="53"/>
      <c r="G105" s="54"/>
      <c r="H105" s="54"/>
      <c r="I105" s="53"/>
      <c r="J105" s="53"/>
      <c r="K105" s="21"/>
      <c r="L105" s="23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</row>
    <row r="106" spans="1:35" ht="12.75" customHeight="1" x14ac:dyDescent="0.25">
      <c r="A106" s="53"/>
      <c r="B106" s="53"/>
      <c r="C106" s="53"/>
      <c r="D106" s="53"/>
      <c r="E106" s="53"/>
      <c r="F106" s="53"/>
      <c r="G106" s="54"/>
      <c r="H106" s="54"/>
      <c r="I106" s="53"/>
      <c r="J106" s="53"/>
      <c r="K106" s="21"/>
      <c r="L106" s="23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</row>
    <row r="107" spans="1:35" ht="12.75" customHeight="1" x14ac:dyDescent="0.25">
      <c r="A107" s="53"/>
      <c r="B107" s="53"/>
      <c r="C107" s="53"/>
      <c r="D107" s="53"/>
      <c r="E107" s="53"/>
      <c r="F107" s="53"/>
      <c r="G107" s="54"/>
      <c r="H107" s="54"/>
      <c r="I107" s="53"/>
      <c r="J107" s="53"/>
      <c r="K107" s="21"/>
      <c r="L107" s="23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2.75" customHeight="1" x14ac:dyDescent="0.25">
      <c r="A108" s="53"/>
      <c r="B108" s="53"/>
      <c r="C108" s="53"/>
      <c r="D108" s="53"/>
      <c r="E108" s="53"/>
      <c r="F108" s="53"/>
      <c r="G108" s="54"/>
      <c r="H108" s="54"/>
      <c r="I108" s="53"/>
      <c r="J108" s="53"/>
      <c r="K108" s="21"/>
      <c r="L108" s="23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12.75" customHeight="1" x14ac:dyDescent="0.25">
      <c r="A109" s="53"/>
      <c r="B109" s="53"/>
      <c r="C109" s="53"/>
      <c r="D109" s="53"/>
      <c r="E109" s="53"/>
      <c r="F109" s="53"/>
      <c r="G109" s="54"/>
      <c r="H109" s="54"/>
      <c r="I109" s="53"/>
      <c r="J109" s="53"/>
      <c r="K109" s="21"/>
      <c r="L109" s="23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</row>
    <row r="110" spans="1:35" ht="12.75" customHeight="1" x14ac:dyDescent="0.25">
      <c r="A110" s="53"/>
      <c r="B110" s="53"/>
      <c r="C110" s="53"/>
      <c r="D110" s="53"/>
      <c r="E110" s="53"/>
      <c r="F110" s="53"/>
      <c r="G110" s="54"/>
      <c r="H110" s="54"/>
      <c r="I110" s="53"/>
      <c r="J110" s="53"/>
      <c r="K110" s="21"/>
      <c r="L110" s="23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</row>
    <row r="111" spans="1:35" ht="12.75" customHeight="1" x14ac:dyDescent="0.25">
      <c r="A111" s="53"/>
      <c r="B111" s="53"/>
      <c r="C111" s="53"/>
      <c r="D111" s="53"/>
      <c r="E111" s="53"/>
      <c r="F111" s="53"/>
      <c r="G111" s="54"/>
      <c r="H111" s="54"/>
      <c r="I111" s="53"/>
      <c r="J111" s="53"/>
      <c r="K111" s="21"/>
      <c r="L111" s="23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</row>
    <row r="112" spans="1:35" ht="12.75" customHeight="1" x14ac:dyDescent="0.25">
      <c r="A112" s="53"/>
      <c r="B112" s="53"/>
      <c r="C112" s="53"/>
      <c r="D112" s="53"/>
      <c r="E112" s="53"/>
      <c r="F112" s="53"/>
      <c r="G112" s="54"/>
      <c r="H112" s="54"/>
      <c r="I112" s="53"/>
      <c r="J112" s="53"/>
      <c r="K112" s="21"/>
      <c r="L112" s="23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</row>
    <row r="113" spans="1:35" ht="12.75" customHeight="1" x14ac:dyDescent="0.25">
      <c r="A113" s="53"/>
      <c r="B113" s="53"/>
      <c r="C113" s="53"/>
      <c r="D113" s="53"/>
      <c r="E113" s="53"/>
      <c r="F113" s="53"/>
      <c r="G113" s="54"/>
      <c r="H113" s="54"/>
      <c r="I113" s="53"/>
      <c r="J113" s="53"/>
      <c r="K113" s="21"/>
      <c r="L113" s="23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</row>
    <row r="114" spans="1:35" ht="12.75" customHeight="1" x14ac:dyDescent="0.25">
      <c r="A114" s="53"/>
      <c r="B114" s="53"/>
      <c r="C114" s="53"/>
      <c r="D114" s="53"/>
      <c r="E114" s="53"/>
      <c r="F114" s="53"/>
      <c r="G114" s="54"/>
      <c r="H114" s="54"/>
      <c r="I114" s="53"/>
      <c r="J114" s="53"/>
      <c r="K114" s="21"/>
      <c r="L114" s="23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</row>
    <row r="115" spans="1:35" ht="12.75" customHeight="1" x14ac:dyDescent="0.25">
      <c r="A115" s="53"/>
      <c r="B115" s="53"/>
      <c r="C115" s="53"/>
      <c r="D115" s="53"/>
      <c r="E115" s="53"/>
      <c r="F115" s="53"/>
      <c r="G115" s="54"/>
      <c r="H115" s="54"/>
      <c r="I115" s="53"/>
      <c r="J115" s="53"/>
      <c r="K115" s="21"/>
      <c r="L115" s="23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</row>
    <row r="116" spans="1:35" ht="12.75" customHeight="1" x14ac:dyDescent="0.25">
      <c r="A116" s="53"/>
      <c r="B116" s="53"/>
      <c r="C116" s="53"/>
      <c r="D116" s="53"/>
      <c r="E116" s="53"/>
      <c r="F116" s="53"/>
      <c r="G116" s="54"/>
      <c r="H116" s="54"/>
      <c r="I116" s="53"/>
      <c r="J116" s="53"/>
      <c r="K116" s="21"/>
      <c r="L116" s="23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</row>
    <row r="117" spans="1:35" ht="12.75" customHeight="1" x14ac:dyDescent="0.25">
      <c r="A117" s="53"/>
      <c r="B117" s="53"/>
      <c r="C117" s="53"/>
      <c r="D117" s="53"/>
      <c r="E117" s="53"/>
      <c r="F117" s="53"/>
      <c r="G117" s="54"/>
      <c r="H117" s="54"/>
      <c r="I117" s="53"/>
      <c r="J117" s="53"/>
      <c r="K117" s="21"/>
      <c r="L117" s="23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</row>
    <row r="118" spans="1:35" ht="12.75" customHeight="1" x14ac:dyDescent="0.25">
      <c r="A118" s="53"/>
      <c r="B118" s="53"/>
      <c r="C118" s="53"/>
      <c r="D118" s="53"/>
      <c r="E118" s="53"/>
      <c r="F118" s="53"/>
      <c r="G118" s="54"/>
      <c r="H118" s="54"/>
      <c r="I118" s="53"/>
      <c r="J118" s="53"/>
      <c r="K118" s="21"/>
      <c r="L118" s="23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</row>
    <row r="119" spans="1:35" ht="12.75" customHeight="1" x14ac:dyDescent="0.25">
      <c r="A119" s="53"/>
      <c r="B119" s="53"/>
      <c r="C119" s="53"/>
      <c r="D119" s="53"/>
      <c r="E119" s="53"/>
      <c r="F119" s="53"/>
      <c r="G119" s="54"/>
      <c r="H119" s="54"/>
      <c r="I119" s="53"/>
      <c r="J119" s="53"/>
      <c r="K119" s="21"/>
      <c r="L119" s="23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</row>
    <row r="120" spans="1:35" ht="12.75" customHeight="1" x14ac:dyDescent="0.25">
      <c r="A120" s="53"/>
      <c r="B120" s="53"/>
      <c r="C120" s="53"/>
      <c r="D120" s="53"/>
      <c r="E120" s="53"/>
      <c r="F120" s="53"/>
      <c r="G120" s="54"/>
      <c r="H120" s="54"/>
      <c r="I120" s="53"/>
      <c r="J120" s="53"/>
      <c r="K120" s="21"/>
      <c r="L120" s="23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</row>
    <row r="121" spans="1:35" ht="12.75" customHeight="1" x14ac:dyDescent="0.25">
      <c r="A121" s="53"/>
      <c r="B121" s="53"/>
      <c r="C121" s="53"/>
      <c r="D121" s="53"/>
      <c r="E121" s="53"/>
      <c r="F121" s="53"/>
      <c r="G121" s="54"/>
      <c r="H121" s="54"/>
      <c r="I121" s="53"/>
      <c r="J121" s="53"/>
      <c r="K121" s="21"/>
      <c r="L121" s="23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</row>
    <row r="122" spans="1:35" ht="12.75" customHeight="1" x14ac:dyDescent="0.25">
      <c r="A122" s="53"/>
      <c r="B122" s="53"/>
      <c r="C122" s="53"/>
      <c r="D122" s="53"/>
      <c r="E122" s="53"/>
      <c r="F122" s="53"/>
      <c r="G122" s="54"/>
      <c r="H122" s="54"/>
      <c r="I122" s="53"/>
      <c r="J122" s="53"/>
      <c r="K122" s="21"/>
      <c r="L122" s="23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</row>
    <row r="123" spans="1:35" ht="12.75" customHeight="1" x14ac:dyDescent="0.25">
      <c r="A123" s="53"/>
      <c r="B123" s="53"/>
      <c r="C123" s="53"/>
      <c r="D123" s="53"/>
      <c r="E123" s="53"/>
      <c r="F123" s="53"/>
      <c r="G123" s="54"/>
      <c r="H123" s="54"/>
      <c r="I123" s="53"/>
      <c r="J123" s="53"/>
      <c r="K123" s="21"/>
      <c r="L123" s="23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</row>
    <row r="124" spans="1:35" ht="12.75" customHeight="1" x14ac:dyDescent="0.25">
      <c r="A124" s="53"/>
      <c r="B124" s="53"/>
      <c r="C124" s="53"/>
      <c r="D124" s="53"/>
      <c r="E124" s="53"/>
      <c r="F124" s="53"/>
      <c r="G124" s="54"/>
      <c r="H124" s="54"/>
      <c r="I124" s="53"/>
      <c r="J124" s="53"/>
      <c r="K124" s="21"/>
      <c r="L124" s="23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</row>
    <row r="125" spans="1:35" ht="12.75" customHeight="1" x14ac:dyDescent="0.25">
      <c r="A125" s="53"/>
      <c r="B125" s="53"/>
      <c r="C125" s="53"/>
      <c r="D125" s="53"/>
      <c r="E125" s="53"/>
      <c r="F125" s="53"/>
      <c r="G125" s="54"/>
      <c r="H125" s="54"/>
      <c r="I125" s="53"/>
      <c r="J125" s="53"/>
      <c r="K125" s="21"/>
      <c r="L125" s="23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</row>
    <row r="126" spans="1:35" ht="12.75" customHeight="1" x14ac:dyDescent="0.25">
      <c r="A126" s="53"/>
      <c r="B126" s="53"/>
      <c r="C126" s="53"/>
      <c r="D126" s="53"/>
      <c r="E126" s="53"/>
      <c r="F126" s="53"/>
      <c r="G126" s="54"/>
      <c r="H126" s="54"/>
      <c r="I126" s="53"/>
      <c r="J126" s="53"/>
      <c r="K126" s="21"/>
      <c r="L126" s="23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</row>
    <row r="127" spans="1:35" ht="12.75" customHeight="1" x14ac:dyDescent="0.25">
      <c r="A127" s="53"/>
      <c r="B127" s="53"/>
      <c r="C127" s="53"/>
      <c r="D127" s="53"/>
      <c r="E127" s="53"/>
      <c r="F127" s="53"/>
      <c r="G127" s="54"/>
      <c r="H127" s="54"/>
      <c r="I127" s="53"/>
      <c r="J127" s="53"/>
      <c r="K127" s="21"/>
      <c r="L127" s="23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</row>
    <row r="128" spans="1:35" ht="12.75" customHeight="1" x14ac:dyDescent="0.25">
      <c r="A128" s="53"/>
      <c r="B128" s="53"/>
      <c r="C128" s="53"/>
      <c r="D128" s="53"/>
      <c r="E128" s="53"/>
      <c r="F128" s="53"/>
      <c r="G128" s="54"/>
      <c r="H128" s="54"/>
      <c r="I128" s="53"/>
      <c r="J128" s="53"/>
      <c r="K128" s="21"/>
      <c r="L128" s="23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</row>
    <row r="129" spans="1:35" ht="12.75" customHeight="1" x14ac:dyDescent="0.25">
      <c r="A129" s="53"/>
      <c r="B129" s="53"/>
      <c r="C129" s="53"/>
      <c r="D129" s="53"/>
      <c r="E129" s="53"/>
      <c r="F129" s="53"/>
      <c r="G129" s="54"/>
      <c r="H129" s="54"/>
      <c r="I129" s="53"/>
      <c r="J129" s="53"/>
      <c r="K129" s="21"/>
      <c r="L129" s="23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</row>
    <row r="130" spans="1:35" ht="12.75" customHeight="1" x14ac:dyDescent="0.25">
      <c r="A130" s="53"/>
      <c r="B130" s="53"/>
      <c r="C130" s="53"/>
      <c r="D130" s="53"/>
      <c r="E130" s="53"/>
      <c r="F130" s="53"/>
      <c r="G130" s="54"/>
      <c r="H130" s="54"/>
      <c r="I130" s="53"/>
      <c r="J130" s="53"/>
      <c r="K130" s="21"/>
      <c r="L130" s="23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</row>
    <row r="131" spans="1:35" ht="12.75" customHeight="1" x14ac:dyDescent="0.25">
      <c r="A131" s="53"/>
      <c r="B131" s="53"/>
      <c r="C131" s="53"/>
      <c r="D131" s="53"/>
      <c r="E131" s="53"/>
      <c r="F131" s="53"/>
      <c r="G131" s="54"/>
      <c r="H131" s="54"/>
      <c r="I131" s="53"/>
      <c r="J131" s="53"/>
      <c r="K131" s="21"/>
      <c r="L131" s="23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</row>
    <row r="132" spans="1:35" ht="12.75" customHeight="1" x14ac:dyDescent="0.25">
      <c r="A132" s="53"/>
      <c r="B132" s="53"/>
      <c r="C132" s="53"/>
      <c r="D132" s="53"/>
      <c r="E132" s="53"/>
      <c r="F132" s="53"/>
      <c r="G132" s="54"/>
      <c r="H132" s="54"/>
      <c r="I132" s="53"/>
      <c r="J132" s="53"/>
      <c r="K132" s="21"/>
      <c r="L132" s="23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</row>
    <row r="133" spans="1:35" ht="12.75" customHeight="1" x14ac:dyDescent="0.25">
      <c r="A133" s="53"/>
      <c r="B133" s="53"/>
      <c r="C133" s="53"/>
      <c r="D133" s="53"/>
      <c r="E133" s="53"/>
      <c r="F133" s="53"/>
      <c r="G133" s="54"/>
      <c r="H133" s="54"/>
      <c r="I133" s="53"/>
      <c r="J133" s="53"/>
      <c r="K133" s="21"/>
      <c r="L133" s="23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</row>
    <row r="134" spans="1:35" ht="12.75" customHeight="1" x14ac:dyDescent="0.25">
      <c r="A134" s="53"/>
      <c r="B134" s="53"/>
      <c r="C134" s="53"/>
      <c r="D134" s="53"/>
      <c r="E134" s="53"/>
      <c r="F134" s="53"/>
      <c r="G134" s="54"/>
      <c r="H134" s="54"/>
      <c r="I134" s="53"/>
      <c r="J134" s="53"/>
      <c r="K134" s="21"/>
      <c r="L134" s="23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</row>
    <row r="135" spans="1:35" ht="12.75" customHeight="1" x14ac:dyDescent="0.25">
      <c r="A135" s="53"/>
      <c r="B135" s="53"/>
      <c r="C135" s="53"/>
      <c r="D135" s="53"/>
      <c r="E135" s="53"/>
      <c r="F135" s="53"/>
      <c r="G135" s="54"/>
      <c r="H135" s="54"/>
      <c r="I135" s="53"/>
      <c r="J135" s="53"/>
      <c r="K135" s="21"/>
      <c r="L135" s="23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</row>
    <row r="136" spans="1:35" ht="12.75" customHeight="1" x14ac:dyDescent="0.25">
      <c r="A136" s="53"/>
      <c r="B136" s="53"/>
      <c r="C136" s="53"/>
      <c r="D136" s="53"/>
      <c r="E136" s="53"/>
      <c r="F136" s="53"/>
      <c r="G136" s="54"/>
      <c r="H136" s="54"/>
      <c r="I136" s="53"/>
      <c r="J136" s="53"/>
      <c r="K136" s="21"/>
      <c r="L136" s="23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</row>
    <row r="137" spans="1:35" ht="12.75" customHeight="1" x14ac:dyDescent="0.25">
      <c r="A137" s="53"/>
      <c r="B137" s="53"/>
      <c r="C137" s="53"/>
      <c r="D137" s="53"/>
      <c r="E137" s="53"/>
      <c r="F137" s="53"/>
      <c r="G137" s="54"/>
      <c r="H137" s="54"/>
      <c r="I137" s="53"/>
      <c r="J137" s="53"/>
      <c r="K137" s="21"/>
      <c r="L137" s="23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</row>
    <row r="138" spans="1:35" ht="12.75" customHeight="1" x14ac:dyDescent="0.25">
      <c r="A138" s="53"/>
      <c r="B138" s="53"/>
      <c r="C138" s="53"/>
      <c r="D138" s="53"/>
      <c r="E138" s="53"/>
      <c r="F138" s="53"/>
      <c r="G138" s="54"/>
      <c r="H138" s="54"/>
      <c r="I138" s="53"/>
      <c r="J138" s="53"/>
      <c r="K138" s="21"/>
      <c r="L138" s="23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</row>
    <row r="139" spans="1:35" ht="12.75" customHeight="1" x14ac:dyDescent="0.25">
      <c r="A139" s="53"/>
      <c r="B139" s="53"/>
      <c r="C139" s="53"/>
      <c r="D139" s="53"/>
      <c r="E139" s="53"/>
      <c r="F139" s="53"/>
      <c r="G139" s="54"/>
      <c r="H139" s="54"/>
      <c r="I139" s="53"/>
      <c r="J139" s="53"/>
      <c r="K139" s="21"/>
      <c r="L139" s="23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</row>
    <row r="140" spans="1:35" ht="12.75" customHeight="1" x14ac:dyDescent="0.25">
      <c r="A140" s="53"/>
      <c r="B140" s="53"/>
      <c r="C140" s="53"/>
      <c r="D140" s="53"/>
      <c r="E140" s="53"/>
      <c r="F140" s="53"/>
      <c r="G140" s="54"/>
      <c r="H140" s="54"/>
      <c r="I140" s="53"/>
      <c r="J140" s="53"/>
      <c r="K140" s="21"/>
      <c r="L140" s="23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</row>
    <row r="141" spans="1:35" ht="12.75" customHeight="1" x14ac:dyDescent="0.25">
      <c r="A141" s="53"/>
      <c r="B141" s="53"/>
      <c r="C141" s="53"/>
      <c r="D141" s="53"/>
      <c r="E141" s="53"/>
      <c r="F141" s="53"/>
      <c r="G141" s="54"/>
      <c r="H141" s="54"/>
      <c r="I141" s="53"/>
      <c r="J141" s="53"/>
      <c r="K141" s="21"/>
      <c r="L141" s="23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</row>
    <row r="142" spans="1:35" ht="12.75" customHeight="1" x14ac:dyDescent="0.25">
      <c r="A142" s="53"/>
      <c r="B142" s="53"/>
      <c r="C142" s="53"/>
      <c r="D142" s="53"/>
      <c r="E142" s="53"/>
      <c r="F142" s="53"/>
      <c r="G142" s="54"/>
      <c r="H142" s="54"/>
      <c r="I142" s="53"/>
      <c r="J142" s="53"/>
      <c r="K142" s="21"/>
      <c r="L142" s="23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</row>
    <row r="143" spans="1:35" ht="12.75" customHeight="1" x14ac:dyDescent="0.25">
      <c r="A143" s="53"/>
      <c r="B143" s="53"/>
      <c r="C143" s="53"/>
      <c r="D143" s="53"/>
      <c r="E143" s="53"/>
      <c r="F143" s="53"/>
      <c r="G143" s="54"/>
      <c r="H143" s="54"/>
      <c r="I143" s="53"/>
      <c r="J143" s="53"/>
      <c r="K143" s="21"/>
      <c r="L143" s="23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</row>
    <row r="144" spans="1:35" ht="12.75" customHeight="1" x14ac:dyDescent="0.25">
      <c r="A144" s="53"/>
      <c r="B144" s="53"/>
      <c r="C144" s="53"/>
      <c r="D144" s="53"/>
      <c r="E144" s="53"/>
      <c r="F144" s="53"/>
      <c r="G144" s="54"/>
      <c r="H144" s="54"/>
      <c r="I144" s="53"/>
      <c r="J144" s="53"/>
      <c r="K144" s="21"/>
      <c r="L144" s="23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</row>
    <row r="145" spans="1:35" ht="12.75" customHeight="1" x14ac:dyDescent="0.25">
      <c r="A145" s="53"/>
      <c r="B145" s="53"/>
      <c r="C145" s="53"/>
      <c r="D145" s="53"/>
      <c r="E145" s="53"/>
      <c r="F145" s="53"/>
      <c r="G145" s="54"/>
      <c r="H145" s="54"/>
      <c r="I145" s="53"/>
      <c r="J145" s="53"/>
      <c r="K145" s="21"/>
      <c r="L145" s="23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</row>
    <row r="146" spans="1:35" ht="12.75" customHeight="1" x14ac:dyDescent="0.25">
      <c r="A146" s="53"/>
      <c r="B146" s="53"/>
      <c r="C146" s="53"/>
      <c r="D146" s="53"/>
      <c r="E146" s="53"/>
      <c r="F146" s="53"/>
      <c r="G146" s="54"/>
      <c r="H146" s="54"/>
      <c r="I146" s="53"/>
      <c r="J146" s="53"/>
      <c r="K146" s="21"/>
      <c r="L146" s="23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 ht="12.75" customHeight="1" x14ac:dyDescent="0.25">
      <c r="A147" s="53"/>
      <c r="B147" s="53"/>
      <c r="C147" s="53"/>
      <c r="D147" s="53"/>
      <c r="E147" s="53"/>
      <c r="F147" s="53"/>
      <c r="G147" s="54"/>
      <c r="H147" s="54"/>
      <c r="I147" s="53"/>
      <c r="J147" s="53"/>
      <c r="K147" s="21"/>
      <c r="L147" s="23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</row>
    <row r="148" spans="1:35" ht="12.75" customHeight="1" x14ac:dyDescent="0.25">
      <c r="A148" s="53"/>
      <c r="B148" s="53"/>
      <c r="C148" s="53"/>
      <c r="D148" s="53"/>
      <c r="E148" s="53"/>
      <c r="F148" s="53"/>
      <c r="G148" s="54"/>
      <c r="H148" s="54"/>
      <c r="I148" s="53"/>
      <c r="J148" s="53"/>
      <c r="K148" s="21"/>
      <c r="L148" s="23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49" spans="1:35" ht="12.75" customHeight="1" x14ac:dyDescent="0.25">
      <c r="A149" s="53"/>
      <c r="B149" s="53"/>
      <c r="C149" s="53"/>
      <c r="D149" s="53"/>
      <c r="E149" s="53"/>
      <c r="F149" s="53"/>
      <c r="G149" s="54"/>
      <c r="H149" s="54"/>
      <c r="I149" s="53"/>
      <c r="J149" s="53"/>
      <c r="K149" s="21"/>
      <c r="L149" s="23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</row>
    <row r="150" spans="1:35" ht="12.75" customHeight="1" x14ac:dyDescent="0.25">
      <c r="A150" s="53"/>
      <c r="B150" s="53"/>
      <c r="C150" s="53"/>
      <c r="D150" s="53"/>
      <c r="E150" s="53"/>
      <c r="F150" s="53"/>
      <c r="G150" s="54"/>
      <c r="H150" s="54"/>
      <c r="I150" s="53"/>
      <c r="J150" s="53"/>
      <c r="K150" s="21"/>
      <c r="L150" s="23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</row>
    <row r="151" spans="1:35" ht="12.75" customHeight="1" x14ac:dyDescent="0.25">
      <c r="A151" s="53"/>
      <c r="B151" s="53"/>
      <c r="C151" s="53"/>
      <c r="D151" s="53"/>
      <c r="E151" s="53"/>
      <c r="F151" s="53"/>
      <c r="G151" s="54"/>
      <c r="H151" s="54"/>
      <c r="I151" s="53"/>
      <c r="J151" s="53"/>
      <c r="K151" s="21"/>
      <c r="L151" s="23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</row>
    <row r="152" spans="1:35" ht="12.75" customHeight="1" x14ac:dyDescent="0.25">
      <c r="A152" s="53"/>
      <c r="B152" s="53"/>
      <c r="C152" s="53"/>
      <c r="D152" s="53"/>
      <c r="E152" s="53"/>
      <c r="F152" s="53"/>
      <c r="G152" s="54"/>
      <c r="H152" s="54"/>
      <c r="I152" s="53"/>
      <c r="J152" s="53"/>
      <c r="K152" s="21"/>
      <c r="L152" s="23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</row>
    <row r="153" spans="1:35" ht="12.75" customHeight="1" x14ac:dyDescent="0.25">
      <c r="A153" s="53"/>
      <c r="B153" s="53"/>
      <c r="C153" s="53"/>
      <c r="D153" s="53"/>
      <c r="E153" s="53"/>
      <c r="F153" s="53"/>
      <c r="G153" s="54"/>
      <c r="H153" s="54"/>
      <c r="I153" s="53"/>
      <c r="J153" s="53"/>
      <c r="K153" s="21"/>
      <c r="L153" s="23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</row>
    <row r="154" spans="1:35" ht="12.75" customHeight="1" x14ac:dyDescent="0.25">
      <c r="A154" s="53"/>
      <c r="B154" s="53"/>
      <c r="C154" s="53"/>
      <c r="D154" s="53"/>
      <c r="E154" s="53"/>
      <c r="F154" s="53"/>
      <c r="G154" s="54"/>
      <c r="H154" s="54"/>
      <c r="I154" s="53"/>
      <c r="J154" s="53"/>
      <c r="K154" s="21"/>
      <c r="L154" s="23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</row>
    <row r="155" spans="1:35" ht="12.75" customHeight="1" x14ac:dyDescent="0.25">
      <c r="A155" s="53"/>
      <c r="B155" s="53"/>
      <c r="C155" s="53"/>
      <c r="D155" s="53"/>
      <c r="E155" s="53"/>
      <c r="F155" s="53"/>
      <c r="G155" s="54"/>
      <c r="H155" s="54"/>
      <c r="I155" s="53"/>
      <c r="J155" s="53"/>
      <c r="K155" s="21"/>
      <c r="L155" s="23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</row>
    <row r="156" spans="1:35" ht="12.75" customHeight="1" x14ac:dyDescent="0.25">
      <c r="A156" s="53"/>
      <c r="B156" s="53"/>
      <c r="C156" s="53"/>
      <c r="D156" s="53"/>
      <c r="E156" s="53"/>
      <c r="F156" s="53"/>
      <c r="G156" s="54"/>
      <c r="H156" s="54"/>
      <c r="I156" s="53"/>
      <c r="J156" s="53"/>
      <c r="K156" s="21"/>
      <c r="L156" s="23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</row>
    <row r="157" spans="1:35" ht="12.75" customHeight="1" x14ac:dyDescent="0.25">
      <c r="A157" s="53"/>
      <c r="B157" s="53"/>
      <c r="C157" s="53"/>
      <c r="D157" s="53"/>
      <c r="E157" s="53"/>
      <c r="F157" s="53"/>
      <c r="G157" s="54"/>
      <c r="H157" s="54"/>
      <c r="I157" s="53"/>
      <c r="J157" s="53"/>
      <c r="K157" s="21"/>
      <c r="L157" s="23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</row>
    <row r="158" spans="1:35" ht="12.75" customHeight="1" x14ac:dyDescent="0.25">
      <c r="A158" s="53"/>
      <c r="B158" s="53"/>
      <c r="C158" s="53"/>
      <c r="D158" s="53"/>
      <c r="E158" s="53"/>
      <c r="F158" s="53"/>
      <c r="G158" s="54"/>
      <c r="H158" s="54"/>
      <c r="I158" s="53"/>
      <c r="J158" s="53"/>
      <c r="K158" s="21"/>
      <c r="L158" s="23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</row>
    <row r="159" spans="1:35" ht="12.75" customHeight="1" x14ac:dyDescent="0.25">
      <c r="A159" s="53"/>
      <c r="B159" s="53"/>
      <c r="C159" s="53"/>
      <c r="D159" s="53"/>
      <c r="E159" s="53"/>
      <c r="F159" s="53"/>
      <c r="G159" s="54"/>
      <c r="H159" s="54"/>
      <c r="I159" s="53"/>
      <c r="J159" s="53"/>
      <c r="K159" s="21"/>
      <c r="L159" s="23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</row>
    <row r="160" spans="1:35" ht="12.75" customHeight="1" x14ac:dyDescent="0.25">
      <c r="A160" s="53"/>
      <c r="B160" s="53"/>
      <c r="C160" s="53"/>
      <c r="D160" s="53"/>
      <c r="E160" s="53"/>
      <c r="F160" s="53"/>
      <c r="G160" s="54"/>
      <c r="H160" s="54"/>
      <c r="I160" s="53"/>
      <c r="J160" s="53"/>
      <c r="K160" s="21"/>
      <c r="L160" s="23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</row>
    <row r="161" spans="1:35" ht="12.75" customHeight="1" x14ac:dyDescent="0.25">
      <c r="A161" s="53"/>
      <c r="B161" s="53"/>
      <c r="C161" s="53"/>
      <c r="D161" s="53"/>
      <c r="E161" s="53"/>
      <c r="F161" s="53"/>
      <c r="G161" s="54"/>
      <c r="H161" s="54"/>
      <c r="I161" s="53"/>
      <c r="J161" s="53"/>
      <c r="K161" s="21"/>
      <c r="L161" s="23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</row>
    <row r="162" spans="1:35" ht="12.75" customHeight="1" x14ac:dyDescent="0.25">
      <c r="A162" s="53"/>
      <c r="B162" s="53"/>
      <c r="C162" s="53"/>
      <c r="D162" s="53"/>
      <c r="E162" s="53"/>
      <c r="F162" s="53"/>
      <c r="G162" s="54"/>
      <c r="H162" s="54"/>
      <c r="I162" s="53"/>
      <c r="J162" s="53"/>
      <c r="K162" s="21"/>
      <c r="L162" s="23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</row>
    <row r="163" spans="1:35" ht="12.75" customHeight="1" x14ac:dyDescent="0.25">
      <c r="A163" s="53"/>
      <c r="B163" s="53"/>
      <c r="C163" s="53"/>
      <c r="D163" s="53"/>
      <c r="E163" s="53"/>
      <c r="F163" s="53"/>
      <c r="G163" s="54"/>
      <c r="H163" s="54"/>
      <c r="I163" s="53"/>
      <c r="J163" s="53"/>
      <c r="K163" s="21"/>
      <c r="L163" s="23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</row>
    <row r="164" spans="1:35" ht="12.75" customHeight="1" x14ac:dyDescent="0.25">
      <c r="A164" s="53"/>
      <c r="B164" s="53"/>
      <c r="C164" s="53"/>
      <c r="D164" s="53"/>
      <c r="E164" s="53"/>
      <c r="F164" s="53"/>
      <c r="G164" s="54"/>
      <c r="H164" s="54"/>
      <c r="I164" s="53"/>
      <c r="J164" s="53"/>
      <c r="K164" s="21"/>
      <c r="L164" s="23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</row>
    <row r="165" spans="1:35" ht="12.75" customHeight="1" x14ac:dyDescent="0.25">
      <c r="A165" s="53"/>
      <c r="B165" s="53"/>
      <c r="C165" s="53"/>
      <c r="D165" s="53"/>
      <c r="E165" s="53"/>
      <c r="F165" s="53"/>
      <c r="G165" s="54"/>
      <c r="H165" s="54"/>
      <c r="I165" s="53"/>
      <c r="J165" s="53"/>
      <c r="K165" s="21"/>
      <c r="L165" s="23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</row>
    <row r="166" spans="1:35" ht="12.75" customHeight="1" x14ac:dyDescent="0.25">
      <c r="A166" s="53"/>
      <c r="B166" s="53"/>
      <c r="C166" s="53"/>
      <c r="D166" s="53"/>
      <c r="E166" s="53"/>
      <c r="F166" s="53"/>
      <c r="G166" s="54"/>
      <c r="H166" s="54"/>
      <c r="I166" s="53"/>
      <c r="J166" s="53"/>
      <c r="K166" s="21"/>
      <c r="L166" s="23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</row>
    <row r="167" spans="1:35" ht="12.75" customHeight="1" x14ac:dyDescent="0.25">
      <c r="A167" s="53"/>
      <c r="B167" s="53"/>
      <c r="C167" s="53"/>
      <c r="D167" s="53"/>
      <c r="E167" s="53"/>
      <c r="F167" s="53"/>
      <c r="G167" s="54"/>
      <c r="H167" s="54"/>
      <c r="I167" s="53"/>
      <c r="J167" s="53"/>
      <c r="K167" s="21"/>
      <c r="L167" s="23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</row>
    <row r="168" spans="1:35" ht="12.75" customHeight="1" x14ac:dyDescent="0.25">
      <c r="A168" s="53"/>
      <c r="B168" s="53"/>
      <c r="C168" s="53"/>
      <c r="D168" s="53"/>
      <c r="E168" s="53"/>
      <c r="F168" s="53"/>
      <c r="G168" s="54"/>
      <c r="H168" s="54"/>
      <c r="I168" s="53"/>
      <c r="J168" s="53"/>
      <c r="K168" s="21"/>
      <c r="L168" s="23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</row>
    <row r="169" spans="1:35" ht="12.75" customHeight="1" x14ac:dyDescent="0.25">
      <c r="A169" s="53"/>
      <c r="B169" s="53"/>
      <c r="C169" s="53"/>
      <c r="D169" s="53"/>
      <c r="E169" s="53"/>
      <c r="F169" s="53"/>
      <c r="G169" s="54"/>
      <c r="H169" s="54"/>
      <c r="I169" s="53"/>
      <c r="J169" s="53"/>
      <c r="K169" s="21"/>
      <c r="L169" s="23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</row>
    <row r="170" spans="1:35" ht="12.75" customHeight="1" x14ac:dyDescent="0.25">
      <c r="A170" s="53"/>
      <c r="B170" s="53"/>
      <c r="C170" s="53"/>
      <c r="D170" s="53"/>
      <c r="E170" s="53"/>
      <c r="F170" s="53"/>
      <c r="G170" s="54"/>
      <c r="H170" s="54"/>
      <c r="I170" s="53"/>
      <c r="J170" s="53"/>
      <c r="K170" s="21"/>
      <c r="L170" s="23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</row>
    <row r="171" spans="1:35" ht="12.75" customHeight="1" x14ac:dyDescent="0.25">
      <c r="A171" s="53"/>
      <c r="B171" s="53"/>
      <c r="C171" s="53"/>
      <c r="D171" s="53"/>
      <c r="E171" s="53"/>
      <c r="F171" s="53"/>
      <c r="G171" s="54"/>
      <c r="H171" s="54"/>
      <c r="I171" s="53"/>
      <c r="J171" s="53"/>
      <c r="K171" s="21"/>
      <c r="L171" s="23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</row>
    <row r="172" spans="1:35" ht="12.75" customHeight="1" x14ac:dyDescent="0.25">
      <c r="A172" s="53"/>
      <c r="B172" s="53"/>
      <c r="C172" s="53"/>
      <c r="D172" s="53"/>
      <c r="E172" s="53"/>
      <c r="F172" s="53"/>
      <c r="G172" s="54"/>
      <c r="H172" s="54"/>
      <c r="I172" s="53"/>
      <c r="J172" s="53"/>
      <c r="K172" s="21"/>
      <c r="L172" s="23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</row>
    <row r="173" spans="1:35" ht="12.75" customHeight="1" x14ac:dyDescent="0.25">
      <c r="A173" s="53"/>
      <c r="B173" s="53"/>
      <c r="C173" s="53"/>
      <c r="D173" s="53"/>
      <c r="E173" s="53"/>
      <c r="F173" s="53"/>
      <c r="G173" s="54"/>
      <c r="H173" s="54"/>
      <c r="I173" s="53"/>
      <c r="J173" s="53"/>
      <c r="K173" s="21"/>
      <c r="L173" s="23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</row>
    <row r="174" spans="1:35" ht="12.75" customHeight="1" x14ac:dyDescent="0.25">
      <c r="A174" s="53"/>
      <c r="B174" s="53"/>
      <c r="C174" s="53"/>
      <c r="D174" s="53"/>
      <c r="E174" s="53"/>
      <c r="F174" s="53"/>
      <c r="G174" s="54"/>
      <c r="H174" s="54"/>
      <c r="I174" s="53"/>
      <c r="J174" s="53"/>
      <c r="K174" s="21"/>
      <c r="L174" s="23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</row>
    <row r="175" spans="1:35" ht="12.75" customHeight="1" x14ac:dyDescent="0.25">
      <c r="A175" s="53"/>
      <c r="B175" s="53"/>
      <c r="C175" s="53"/>
      <c r="D175" s="53"/>
      <c r="E175" s="53"/>
      <c r="F175" s="53"/>
      <c r="G175" s="54"/>
      <c r="H175" s="54"/>
      <c r="I175" s="53"/>
      <c r="J175" s="53"/>
      <c r="K175" s="21"/>
      <c r="L175" s="23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</row>
    <row r="176" spans="1:35" ht="12.75" customHeight="1" x14ac:dyDescent="0.25">
      <c r="A176" s="53"/>
      <c r="B176" s="53"/>
      <c r="C176" s="53"/>
      <c r="D176" s="53"/>
      <c r="E176" s="53"/>
      <c r="F176" s="53"/>
      <c r="G176" s="54"/>
      <c r="H176" s="54"/>
      <c r="I176" s="53"/>
      <c r="J176" s="53"/>
      <c r="K176" s="21"/>
      <c r="L176" s="23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</row>
    <row r="177" spans="1:35" ht="12.75" customHeight="1" x14ac:dyDescent="0.25">
      <c r="A177" s="53"/>
      <c r="B177" s="53"/>
      <c r="C177" s="53"/>
      <c r="D177" s="53"/>
      <c r="E177" s="53"/>
      <c r="F177" s="53"/>
      <c r="G177" s="54"/>
      <c r="H177" s="54"/>
      <c r="I177" s="53"/>
      <c r="J177" s="53"/>
      <c r="K177" s="21"/>
      <c r="L177" s="23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</row>
    <row r="178" spans="1:35" ht="12.75" customHeight="1" x14ac:dyDescent="0.25">
      <c r="A178" s="53"/>
      <c r="B178" s="53"/>
      <c r="C178" s="53"/>
      <c r="D178" s="53"/>
      <c r="E178" s="53"/>
      <c r="F178" s="53"/>
      <c r="G178" s="54"/>
      <c r="H178" s="54"/>
      <c r="I178" s="53"/>
      <c r="J178" s="53"/>
      <c r="K178" s="21"/>
      <c r="L178" s="23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</row>
    <row r="179" spans="1:35" ht="12.75" customHeight="1" x14ac:dyDescent="0.25">
      <c r="A179" s="53"/>
      <c r="B179" s="53"/>
      <c r="C179" s="53"/>
      <c r="D179" s="53"/>
      <c r="E179" s="53"/>
      <c r="F179" s="53"/>
      <c r="G179" s="54"/>
      <c r="H179" s="54"/>
      <c r="I179" s="53"/>
      <c r="J179" s="53"/>
      <c r="K179" s="21"/>
      <c r="L179" s="23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</row>
    <row r="180" spans="1:35" ht="12.75" customHeight="1" x14ac:dyDescent="0.25">
      <c r="A180" s="53"/>
      <c r="B180" s="53"/>
      <c r="C180" s="53"/>
      <c r="D180" s="53"/>
      <c r="E180" s="53"/>
      <c r="F180" s="53"/>
      <c r="G180" s="54"/>
      <c r="H180" s="54"/>
      <c r="I180" s="53"/>
      <c r="J180" s="53"/>
      <c r="K180" s="21"/>
      <c r="L180" s="23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</row>
    <row r="181" spans="1:35" ht="12.75" customHeight="1" x14ac:dyDescent="0.25">
      <c r="A181" s="53"/>
      <c r="B181" s="53"/>
      <c r="C181" s="53"/>
      <c r="D181" s="53"/>
      <c r="E181" s="53"/>
      <c r="F181" s="53"/>
      <c r="G181" s="54"/>
      <c r="H181" s="54"/>
      <c r="I181" s="53"/>
      <c r="J181" s="53"/>
      <c r="K181" s="21"/>
      <c r="L181" s="23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</row>
    <row r="182" spans="1:35" ht="12.75" customHeight="1" x14ac:dyDescent="0.25">
      <c r="A182" s="53"/>
      <c r="B182" s="53"/>
      <c r="C182" s="53"/>
      <c r="D182" s="53"/>
      <c r="E182" s="53"/>
      <c r="F182" s="53"/>
      <c r="G182" s="54"/>
      <c r="H182" s="54"/>
      <c r="I182" s="53"/>
      <c r="J182" s="53"/>
      <c r="K182" s="21"/>
      <c r="L182" s="23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</row>
    <row r="183" spans="1:35" ht="12.75" customHeight="1" x14ac:dyDescent="0.25">
      <c r="A183" s="53"/>
      <c r="B183" s="53"/>
      <c r="C183" s="53"/>
      <c r="D183" s="53"/>
      <c r="E183" s="53"/>
      <c r="F183" s="53"/>
      <c r="G183" s="54"/>
      <c r="H183" s="54"/>
      <c r="I183" s="53"/>
      <c r="J183" s="53"/>
      <c r="K183" s="21"/>
      <c r="L183" s="23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</row>
    <row r="184" spans="1:35" ht="12.75" customHeight="1" x14ac:dyDescent="0.25">
      <c r="A184" s="53"/>
      <c r="B184" s="53"/>
      <c r="C184" s="53"/>
      <c r="D184" s="53"/>
      <c r="E184" s="53"/>
      <c r="F184" s="53"/>
      <c r="G184" s="54"/>
      <c r="H184" s="54"/>
      <c r="I184" s="53"/>
      <c r="J184" s="53"/>
      <c r="K184" s="21"/>
      <c r="L184" s="23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</row>
    <row r="185" spans="1:35" ht="12.75" customHeight="1" x14ac:dyDescent="0.25">
      <c r="A185" s="53"/>
      <c r="B185" s="53"/>
      <c r="C185" s="53"/>
      <c r="D185" s="53"/>
      <c r="E185" s="53"/>
      <c r="F185" s="53"/>
      <c r="G185" s="54"/>
      <c r="H185" s="54"/>
      <c r="I185" s="53"/>
      <c r="J185" s="53"/>
      <c r="K185" s="21"/>
      <c r="L185" s="23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</row>
    <row r="186" spans="1:35" ht="12.75" customHeight="1" x14ac:dyDescent="0.25">
      <c r="A186" s="53"/>
      <c r="B186" s="53"/>
      <c r="C186" s="53"/>
      <c r="D186" s="53"/>
      <c r="E186" s="53"/>
      <c r="F186" s="53"/>
      <c r="G186" s="54"/>
      <c r="H186" s="54"/>
      <c r="I186" s="53"/>
      <c r="J186" s="53"/>
      <c r="K186" s="21"/>
      <c r="L186" s="23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</row>
    <row r="187" spans="1:35" ht="12.75" customHeight="1" x14ac:dyDescent="0.25">
      <c r="A187" s="53"/>
      <c r="B187" s="53"/>
      <c r="C187" s="53"/>
      <c r="D187" s="53"/>
      <c r="E187" s="53"/>
      <c r="F187" s="53"/>
      <c r="G187" s="54"/>
      <c r="H187" s="54"/>
      <c r="I187" s="53"/>
      <c r="J187" s="53"/>
      <c r="K187" s="21"/>
      <c r="L187" s="23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</row>
    <row r="188" spans="1:35" ht="12.75" customHeight="1" x14ac:dyDescent="0.25">
      <c r="A188" s="53"/>
      <c r="B188" s="53"/>
      <c r="C188" s="53"/>
      <c r="D188" s="53"/>
      <c r="E188" s="53"/>
      <c r="F188" s="53"/>
      <c r="G188" s="54"/>
      <c r="H188" s="54"/>
      <c r="I188" s="53"/>
      <c r="J188" s="53"/>
      <c r="K188" s="21"/>
      <c r="L188" s="23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</row>
    <row r="189" spans="1:35" ht="12.75" customHeight="1" x14ac:dyDescent="0.25">
      <c r="A189" s="53"/>
      <c r="B189" s="53"/>
      <c r="C189" s="53"/>
      <c r="D189" s="53"/>
      <c r="E189" s="53"/>
      <c r="F189" s="53"/>
      <c r="G189" s="54"/>
      <c r="H189" s="54"/>
      <c r="I189" s="53"/>
      <c r="J189" s="53"/>
      <c r="K189" s="21"/>
      <c r="L189" s="23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</row>
    <row r="190" spans="1:35" ht="12.75" customHeight="1" x14ac:dyDescent="0.25">
      <c r="A190" s="53"/>
      <c r="B190" s="53"/>
      <c r="C190" s="53"/>
      <c r="D190" s="53"/>
      <c r="E190" s="53"/>
      <c r="F190" s="53"/>
      <c r="G190" s="54"/>
      <c r="H190" s="54"/>
      <c r="I190" s="53"/>
      <c r="J190" s="53"/>
      <c r="K190" s="21"/>
      <c r="L190" s="23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</row>
    <row r="191" spans="1:35" ht="12.75" customHeight="1" x14ac:dyDescent="0.25">
      <c r="A191" s="53"/>
      <c r="B191" s="53"/>
      <c r="C191" s="53"/>
      <c r="D191" s="53"/>
      <c r="E191" s="53"/>
      <c r="F191" s="53"/>
      <c r="G191" s="54"/>
      <c r="H191" s="54"/>
      <c r="I191" s="53"/>
      <c r="J191" s="53"/>
      <c r="K191" s="21"/>
      <c r="L191" s="23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</row>
    <row r="192" spans="1:35" ht="12.75" customHeight="1" x14ac:dyDescent="0.25">
      <c r="A192" s="53"/>
      <c r="B192" s="53"/>
      <c r="C192" s="53"/>
      <c r="D192" s="53"/>
      <c r="E192" s="53"/>
      <c r="F192" s="53"/>
      <c r="G192" s="54"/>
      <c r="H192" s="54"/>
      <c r="I192" s="53"/>
      <c r="J192" s="53"/>
      <c r="K192" s="21"/>
      <c r="L192" s="23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</row>
    <row r="193" spans="1:35" ht="12.75" customHeight="1" x14ac:dyDescent="0.25">
      <c r="A193" s="53"/>
      <c r="B193" s="53"/>
      <c r="C193" s="53"/>
      <c r="D193" s="53"/>
      <c r="E193" s="53"/>
      <c r="F193" s="53"/>
      <c r="G193" s="54"/>
      <c r="H193" s="54"/>
      <c r="I193" s="53"/>
      <c r="J193" s="53"/>
      <c r="K193" s="21"/>
      <c r="L193" s="23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</row>
    <row r="194" spans="1:35" ht="12.75" customHeight="1" x14ac:dyDescent="0.25">
      <c r="A194" s="53"/>
      <c r="B194" s="53"/>
      <c r="C194" s="53"/>
      <c r="D194" s="53"/>
      <c r="E194" s="53"/>
      <c r="F194" s="53"/>
      <c r="G194" s="54"/>
      <c r="H194" s="54"/>
      <c r="I194" s="53"/>
      <c r="J194" s="53"/>
      <c r="K194" s="21"/>
      <c r="L194" s="23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</row>
    <row r="195" spans="1:35" ht="12.75" customHeight="1" x14ac:dyDescent="0.25">
      <c r="A195" s="53"/>
      <c r="B195" s="53"/>
      <c r="C195" s="53"/>
      <c r="D195" s="53"/>
      <c r="E195" s="53"/>
      <c r="F195" s="53"/>
      <c r="G195" s="54"/>
      <c r="H195" s="54"/>
      <c r="I195" s="53"/>
      <c r="J195" s="53"/>
      <c r="K195" s="21"/>
      <c r="L195" s="23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</row>
    <row r="196" spans="1:35" ht="12.75" customHeight="1" x14ac:dyDescent="0.25">
      <c r="A196" s="53"/>
      <c r="B196" s="53"/>
      <c r="C196" s="53"/>
      <c r="D196" s="53"/>
      <c r="E196" s="53"/>
      <c r="F196" s="53"/>
      <c r="G196" s="54"/>
      <c r="H196" s="54"/>
      <c r="I196" s="53"/>
      <c r="J196" s="53"/>
      <c r="K196" s="21"/>
      <c r="L196" s="23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</row>
    <row r="197" spans="1:35" ht="12.75" customHeight="1" x14ac:dyDescent="0.25">
      <c r="A197" s="53"/>
      <c r="B197" s="53"/>
      <c r="C197" s="53"/>
      <c r="D197" s="53"/>
      <c r="E197" s="53"/>
      <c r="F197" s="53"/>
      <c r="G197" s="54"/>
      <c r="H197" s="54"/>
      <c r="I197" s="53"/>
      <c r="J197" s="53"/>
      <c r="K197" s="21"/>
      <c r="L197" s="23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</row>
    <row r="198" spans="1:35" ht="12.75" customHeight="1" x14ac:dyDescent="0.25">
      <c r="A198" s="53"/>
      <c r="B198" s="53"/>
      <c r="C198" s="53"/>
      <c r="D198" s="53"/>
      <c r="E198" s="53"/>
      <c r="F198" s="53"/>
      <c r="G198" s="54"/>
      <c r="H198" s="54"/>
      <c r="I198" s="53"/>
      <c r="J198" s="53"/>
      <c r="K198" s="21"/>
      <c r="L198" s="23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</row>
    <row r="199" spans="1:35" ht="12.75" customHeight="1" x14ac:dyDescent="0.25">
      <c r="A199" s="53"/>
      <c r="B199" s="53"/>
      <c r="C199" s="53"/>
      <c r="D199" s="53"/>
      <c r="E199" s="53"/>
      <c r="F199" s="53"/>
      <c r="G199" s="54"/>
      <c r="H199" s="54"/>
      <c r="I199" s="53"/>
      <c r="J199" s="53"/>
      <c r="K199" s="21"/>
      <c r="L199" s="23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</row>
    <row r="200" spans="1:35" ht="12.75" customHeight="1" x14ac:dyDescent="0.25">
      <c r="A200" s="53"/>
      <c r="B200" s="53"/>
      <c r="C200" s="53"/>
      <c r="D200" s="53"/>
      <c r="E200" s="53"/>
      <c r="F200" s="53"/>
      <c r="G200" s="54"/>
      <c r="H200" s="54"/>
      <c r="I200" s="53"/>
      <c r="J200" s="53"/>
      <c r="K200" s="21"/>
      <c r="L200" s="23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</row>
    <row r="201" spans="1:35" ht="12.75" customHeight="1" x14ac:dyDescent="0.25">
      <c r="A201" s="53"/>
      <c r="B201" s="53"/>
      <c r="C201" s="53"/>
      <c r="D201" s="53"/>
      <c r="E201" s="53"/>
      <c r="F201" s="53"/>
      <c r="G201" s="54"/>
      <c r="H201" s="54"/>
      <c r="I201" s="53"/>
      <c r="J201" s="53"/>
      <c r="K201" s="21"/>
      <c r="L201" s="23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</row>
    <row r="202" spans="1:35" ht="12.75" customHeight="1" x14ac:dyDescent="0.25">
      <c r="A202" s="53"/>
      <c r="B202" s="53"/>
      <c r="C202" s="53"/>
      <c r="D202" s="53"/>
      <c r="E202" s="53"/>
      <c r="F202" s="53"/>
      <c r="G202" s="54"/>
      <c r="H202" s="54"/>
      <c r="I202" s="53"/>
      <c r="J202" s="53"/>
      <c r="K202" s="21"/>
      <c r="L202" s="23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</row>
    <row r="203" spans="1:35" ht="12.75" customHeight="1" x14ac:dyDescent="0.25">
      <c r="A203" s="53"/>
      <c r="B203" s="53"/>
      <c r="C203" s="53"/>
      <c r="D203" s="53"/>
      <c r="E203" s="53"/>
      <c r="F203" s="53"/>
      <c r="G203" s="54"/>
      <c r="H203" s="54"/>
      <c r="I203" s="53"/>
      <c r="J203" s="53"/>
      <c r="K203" s="21"/>
      <c r="L203" s="23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</row>
    <row r="204" spans="1:35" ht="12.75" customHeight="1" x14ac:dyDescent="0.25">
      <c r="A204" s="53"/>
      <c r="B204" s="53"/>
      <c r="C204" s="53"/>
      <c r="D204" s="53"/>
      <c r="E204" s="53"/>
      <c r="F204" s="53"/>
      <c r="G204" s="54"/>
      <c r="H204" s="54"/>
      <c r="I204" s="53"/>
      <c r="J204" s="53"/>
      <c r="K204" s="21"/>
      <c r="L204" s="23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</row>
    <row r="205" spans="1:35" ht="12.75" customHeight="1" x14ac:dyDescent="0.25">
      <c r="A205" s="53"/>
      <c r="B205" s="53"/>
      <c r="C205" s="53"/>
      <c r="D205" s="53"/>
      <c r="E205" s="53"/>
      <c r="F205" s="53"/>
      <c r="G205" s="54"/>
      <c r="H205" s="54"/>
      <c r="I205" s="53"/>
      <c r="J205" s="53"/>
      <c r="K205" s="21"/>
      <c r="L205" s="23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</row>
    <row r="206" spans="1:35" ht="12.75" customHeight="1" x14ac:dyDescent="0.25">
      <c r="A206" s="53"/>
      <c r="B206" s="53"/>
      <c r="C206" s="53"/>
      <c r="D206" s="53"/>
      <c r="E206" s="53"/>
      <c r="F206" s="53"/>
      <c r="G206" s="54"/>
      <c r="H206" s="54"/>
      <c r="I206" s="53"/>
      <c r="J206" s="53"/>
      <c r="K206" s="21"/>
      <c r="L206" s="23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</row>
    <row r="207" spans="1:35" ht="12.75" customHeight="1" x14ac:dyDescent="0.25">
      <c r="A207" s="53"/>
      <c r="B207" s="53"/>
      <c r="C207" s="53"/>
      <c r="D207" s="53"/>
      <c r="E207" s="53"/>
      <c r="F207" s="53"/>
      <c r="G207" s="54"/>
      <c r="H207" s="54"/>
      <c r="I207" s="53"/>
      <c r="J207" s="53"/>
      <c r="K207" s="21"/>
      <c r="L207" s="23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</row>
    <row r="208" spans="1:35" ht="12.75" customHeight="1" x14ac:dyDescent="0.25">
      <c r="A208" s="53"/>
      <c r="B208" s="53"/>
      <c r="C208" s="53"/>
      <c r="D208" s="53"/>
      <c r="E208" s="53"/>
      <c r="F208" s="53"/>
      <c r="G208" s="54"/>
      <c r="H208" s="54"/>
      <c r="I208" s="53"/>
      <c r="J208" s="53"/>
      <c r="K208" s="21"/>
      <c r="L208" s="23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</row>
    <row r="209" spans="1:35" ht="12.75" customHeight="1" x14ac:dyDescent="0.25">
      <c r="A209" s="53"/>
      <c r="B209" s="53"/>
      <c r="C209" s="53"/>
      <c r="D209" s="53"/>
      <c r="E209" s="53"/>
      <c r="F209" s="53"/>
      <c r="G209" s="54"/>
      <c r="H209" s="54"/>
      <c r="I209" s="53"/>
      <c r="J209" s="53"/>
      <c r="K209" s="21"/>
      <c r="L209" s="23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</row>
    <row r="210" spans="1:35" ht="12.75" customHeight="1" x14ac:dyDescent="0.25">
      <c r="A210" s="53"/>
      <c r="B210" s="53"/>
      <c r="C210" s="53"/>
      <c r="D210" s="53"/>
      <c r="E210" s="53"/>
      <c r="F210" s="53"/>
      <c r="G210" s="54"/>
      <c r="H210" s="54"/>
      <c r="I210" s="53"/>
      <c r="J210" s="53"/>
      <c r="K210" s="21"/>
      <c r="L210" s="23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</row>
    <row r="211" spans="1:35" ht="12.75" customHeight="1" x14ac:dyDescent="0.25">
      <c r="A211" s="53"/>
      <c r="B211" s="53"/>
      <c r="C211" s="53"/>
      <c r="D211" s="53"/>
      <c r="E211" s="53"/>
      <c r="F211" s="53"/>
      <c r="G211" s="54"/>
      <c r="H211" s="54"/>
      <c r="I211" s="53"/>
      <c r="J211" s="53"/>
      <c r="K211" s="21"/>
      <c r="L211" s="23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</row>
    <row r="212" spans="1:35" ht="12.75" customHeight="1" x14ac:dyDescent="0.25">
      <c r="A212" s="53"/>
      <c r="B212" s="53"/>
      <c r="C212" s="53"/>
      <c r="D212" s="53"/>
      <c r="E212" s="53"/>
      <c r="F212" s="53"/>
      <c r="G212" s="54"/>
      <c r="H212" s="54"/>
      <c r="I212" s="53"/>
      <c r="J212" s="53"/>
      <c r="K212" s="21"/>
      <c r="L212" s="23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</row>
    <row r="213" spans="1:35" ht="12.75" customHeight="1" x14ac:dyDescent="0.25">
      <c r="A213" s="53"/>
      <c r="B213" s="53"/>
      <c r="C213" s="53"/>
      <c r="D213" s="53"/>
      <c r="E213" s="53"/>
      <c r="F213" s="53"/>
      <c r="G213" s="54"/>
      <c r="H213" s="54"/>
      <c r="I213" s="53"/>
      <c r="J213" s="53"/>
      <c r="K213" s="21"/>
      <c r="L213" s="23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</row>
    <row r="214" spans="1:35" ht="12.75" customHeight="1" x14ac:dyDescent="0.25">
      <c r="A214" s="53"/>
      <c r="B214" s="53"/>
      <c r="C214" s="53"/>
      <c r="D214" s="53"/>
      <c r="E214" s="53"/>
      <c r="F214" s="53"/>
      <c r="G214" s="54"/>
      <c r="H214" s="54"/>
      <c r="I214" s="53"/>
      <c r="J214" s="53"/>
      <c r="K214" s="21"/>
      <c r="L214" s="23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</row>
    <row r="215" spans="1:35" ht="12.75" customHeight="1" x14ac:dyDescent="0.25">
      <c r="A215" s="53"/>
      <c r="B215" s="53"/>
      <c r="C215" s="53"/>
      <c r="D215" s="53"/>
      <c r="E215" s="53"/>
      <c r="F215" s="53"/>
      <c r="G215" s="54"/>
      <c r="H215" s="54"/>
      <c r="I215" s="53"/>
      <c r="J215" s="53"/>
      <c r="K215" s="21"/>
      <c r="L215" s="23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</row>
    <row r="216" spans="1:35" ht="12.75" customHeight="1" x14ac:dyDescent="0.25">
      <c r="A216" s="53"/>
      <c r="B216" s="53"/>
      <c r="C216" s="53"/>
      <c r="D216" s="53"/>
      <c r="E216" s="53"/>
      <c r="F216" s="53"/>
      <c r="G216" s="54"/>
      <c r="H216" s="54"/>
      <c r="I216" s="53"/>
      <c r="J216" s="53"/>
      <c r="K216" s="21"/>
      <c r="L216" s="23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</row>
    <row r="217" spans="1:35" ht="12.75" customHeight="1" x14ac:dyDescent="0.25">
      <c r="A217" s="53"/>
      <c r="B217" s="53"/>
      <c r="C217" s="53"/>
      <c r="D217" s="53"/>
      <c r="E217" s="53"/>
      <c r="F217" s="53"/>
      <c r="G217" s="54"/>
      <c r="H217" s="54"/>
      <c r="I217" s="53"/>
      <c r="J217" s="53"/>
      <c r="K217" s="21"/>
      <c r="L217" s="23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</row>
    <row r="218" spans="1:35" ht="12.75" customHeight="1" x14ac:dyDescent="0.25">
      <c r="A218" s="53"/>
      <c r="B218" s="53"/>
      <c r="C218" s="53"/>
      <c r="D218" s="53"/>
      <c r="E218" s="53"/>
      <c r="F218" s="53"/>
      <c r="G218" s="54"/>
      <c r="H218" s="54"/>
      <c r="I218" s="53"/>
      <c r="J218" s="53"/>
      <c r="K218" s="21"/>
      <c r="L218" s="23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</row>
    <row r="219" spans="1:35" ht="12.75" customHeight="1" x14ac:dyDescent="0.25">
      <c r="A219" s="53"/>
      <c r="B219" s="53"/>
      <c r="C219" s="53"/>
      <c r="D219" s="53"/>
      <c r="E219" s="53"/>
      <c r="F219" s="53"/>
      <c r="G219" s="54"/>
      <c r="H219" s="54"/>
      <c r="I219" s="53"/>
      <c r="J219" s="53"/>
      <c r="K219" s="21"/>
      <c r="L219" s="23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</row>
    <row r="220" spans="1:35" ht="12.75" customHeight="1" x14ac:dyDescent="0.25">
      <c r="A220" s="53"/>
      <c r="B220" s="53"/>
      <c r="C220" s="53"/>
      <c r="D220" s="53"/>
      <c r="E220" s="53"/>
      <c r="F220" s="53"/>
      <c r="G220" s="54"/>
      <c r="H220" s="54"/>
      <c r="I220" s="53"/>
      <c r="J220" s="53"/>
      <c r="K220" s="21"/>
      <c r="L220" s="23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</row>
    <row r="221" spans="1:35" ht="12.75" customHeight="1" x14ac:dyDescent="0.25">
      <c r="A221" s="53"/>
      <c r="B221" s="53"/>
      <c r="C221" s="53"/>
      <c r="D221" s="53"/>
      <c r="E221" s="53"/>
      <c r="F221" s="53"/>
      <c r="G221" s="54"/>
      <c r="H221" s="54"/>
      <c r="I221" s="53"/>
      <c r="J221" s="53"/>
      <c r="K221" s="21"/>
      <c r="L221" s="23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</row>
    <row r="222" spans="1:35" ht="12.75" customHeight="1" x14ac:dyDescent="0.25">
      <c r="A222" s="53"/>
      <c r="B222" s="53"/>
      <c r="C222" s="53"/>
      <c r="D222" s="53"/>
      <c r="E222" s="53"/>
      <c r="F222" s="53"/>
      <c r="G222" s="54"/>
      <c r="H222" s="54"/>
      <c r="I222" s="53"/>
      <c r="J222" s="53"/>
      <c r="K222" s="21"/>
      <c r="L222" s="23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</row>
    <row r="223" spans="1:35" ht="12.75" customHeight="1" x14ac:dyDescent="0.25">
      <c r="A223" s="53"/>
      <c r="B223" s="53"/>
      <c r="C223" s="53"/>
      <c r="D223" s="53"/>
      <c r="E223" s="53"/>
      <c r="F223" s="53"/>
      <c r="G223" s="54"/>
      <c r="H223" s="54"/>
      <c r="I223" s="53"/>
      <c r="J223" s="53"/>
      <c r="K223" s="21"/>
      <c r="L223" s="23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</row>
    <row r="224" spans="1:35" ht="12.75" customHeight="1" x14ac:dyDescent="0.25">
      <c r="A224" s="53"/>
      <c r="B224" s="53"/>
      <c r="C224" s="53"/>
      <c r="D224" s="53"/>
      <c r="E224" s="53"/>
      <c r="F224" s="53"/>
      <c r="G224" s="54"/>
      <c r="H224" s="54"/>
      <c r="I224" s="53"/>
      <c r="J224" s="53"/>
      <c r="K224" s="21"/>
      <c r="L224" s="23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</row>
    <row r="225" spans="1:35" ht="12.75" customHeight="1" x14ac:dyDescent="0.25">
      <c r="A225" s="53"/>
      <c r="B225" s="53"/>
      <c r="C225" s="53"/>
      <c r="D225" s="53"/>
      <c r="E225" s="53"/>
      <c r="F225" s="53"/>
      <c r="G225" s="54"/>
      <c r="H225" s="54"/>
      <c r="I225" s="53"/>
      <c r="J225" s="53"/>
      <c r="K225" s="21"/>
      <c r="L225" s="23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</row>
    <row r="226" spans="1:35" ht="12.75" customHeight="1" x14ac:dyDescent="0.25">
      <c r="A226" s="53"/>
      <c r="B226" s="53"/>
      <c r="C226" s="53"/>
      <c r="D226" s="53"/>
      <c r="E226" s="53"/>
      <c r="F226" s="53"/>
      <c r="G226" s="54"/>
      <c r="H226" s="54"/>
      <c r="I226" s="53"/>
      <c r="J226" s="53"/>
      <c r="K226" s="21"/>
      <c r="L226" s="23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</row>
    <row r="227" spans="1:35" ht="12.75" customHeight="1" x14ac:dyDescent="0.25">
      <c r="A227" s="53"/>
      <c r="B227" s="53"/>
      <c r="C227" s="53"/>
      <c r="D227" s="53"/>
      <c r="E227" s="53"/>
      <c r="F227" s="53"/>
      <c r="G227" s="54"/>
      <c r="H227" s="54"/>
      <c r="I227" s="53"/>
      <c r="J227" s="53"/>
      <c r="K227" s="21"/>
      <c r="L227" s="23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</row>
    <row r="228" spans="1:35" ht="12.75" customHeight="1" x14ac:dyDescent="0.25">
      <c r="A228" s="53"/>
      <c r="B228" s="53"/>
      <c r="C228" s="53"/>
      <c r="D228" s="53"/>
      <c r="E228" s="53"/>
      <c r="F228" s="53"/>
      <c r="G228" s="54"/>
      <c r="H228" s="54"/>
      <c r="I228" s="53"/>
      <c r="J228" s="53"/>
      <c r="K228" s="21"/>
      <c r="L228" s="23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</row>
    <row r="229" spans="1:35" ht="12.75" customHeight="1" x14ac:dyDescent="0.25">
      <c r="A229" s="53"/>
      <c r="B229" s="53"/>
      <c r="C229" s="53"/>
      <c r="D229" s="53"/>
      <c r="E229" s="53"/>
      <c r="F229" s="53"/>
      <c r="G229" s="54"/>
      <c r="H229" s="54"/>
      <c r="I229" s="53"/>
      <c r="J229" s="53"/>
      <c r="K229" s="21"/>
      <c r="L229" s="23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</row>
    <row r="230" spans="1:35" ht="12.75" customHeight="1" x14ac:dyDescent="0.25">
      <c r="A230" s="53"/>
      <c r="B230" s="53"/>
      <c r="C230" s="53"/>
      <c r="D230" s="53"/>
      <c r="E230" s="53"/>
      <c r="F230" s="53"/>
      <c r="G230" s="54"/>
      <c r="H230" s="54"/>
      <c r="I230" s="53"/>
      <c r="J230" s="53"/>
      <c r="K230" s="21"/>
      <c r="L230" s="23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</row>
    <row r="231" spans="1:35" ht="12.75" customHeight="1" x14ac:dyDescent="0.25">
      <c r="A231" s="53"/>
      <c r="B231" s="53"/>
      <c r="C231" s="53"/>
      <c r="D231" s="53"/>
      <c r="E231" s="53"/>
      <c r="F231" s="53"/>
      <c r="G231" s="54"/>
      <c r="H231" s="54"/>
      <c r="I231" s="53"/>
      <c r="J231" s="53"/>
      <c r="K231" s="21"/>
      <c r="L231" s="23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</row>
    <row r="232" spans="1:35" ht="12.75" customHeight="1" x14ac:dyDescent="0.25">
      <c r="A232" s="53"/>
      <c r="B232" s="53"/>
      <c r="C232" s="53"/>
      <c r="D232" s="53"/>
      <c r="E232" s="53"/>
      <c r="F232" s="53"/>
      <c r="G232" s="54"/>
      <c r="H232" s="54"/>
      <c r="I232" s="53"/>
      <c r="J232" s="53"/>
      <c r="K232" s="21"/>
      <c r="L232" s="23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</row>
    <row r="233" spans="1:35" ht="12.75" customHeight="1" x14ac:dyDescent="0.25">
      <c r="A233" s="53"/>
      <c r="B233" s="53"/>
      <c r="C233" s="53"/>
      <c r="D233" s="53"/>
      <c r="E233" s="53"/>
      <c r="F233" s="53"/>
      <c r="G233" s="54"/>
      <c r="H233" s="54"/>
      <c r="I233" s="53"/>
      <c r="J233" s="53"/>
      <c r="K233" s="21"/>
      <c r="L233" s="23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</row>
    <row r="234" spans="1:35" ht="12.75" customHeight="1" x14ac:dyDescent="0.25">
      <c r="A234" s="53"/>
      <c r="B234" s="53"/>
      <c r="C234" s="53"/>
      <c r="D234" s="53"/>
      <c r="E234" s="53"/>
      <c r="F234" s="53"/>
      <c r="G234" s="54"/>
      <c r="H234" s="54"/>
      <c r="I234" s="53"/>
      <c r="J234" s="53"/>
      <c r="K234" s="21"/>
      <c r="L234" s="23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</row>
    <row r="235" spans="1:35" ht="12.75" customHeight="1" x14ac:dyDescent="0.25">
      <c r="A235" s="53"/>
      <c r="B235" s="53"/>
      <c r="C235" s="53"/>
      <c r="D235" s="53"/>
      <c r="E235" s="53"/>
      <c r="F235" s="53"/>
      <c r="G235" s="54"/>
      <c r="H235" s="54"/>
      <c r="I235" s="53"/>
      <c r="J235" s="53"/>
      <c r="K235" s="21"/>
      <c r="L235" s="23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</row>
    <row r="236" spans="1:35" ht="12.75" customHeight="1" x14ac:dyDescent="0.25">
      <c r="A236" s="53"/>
      <c r="B236" s="53"/>
      <c r="C236" s="53"/>
      <c r="D236" s="53"/>
      <c r="E236" s="53"/>
      <c r="F236" s="53"/>
      <c r="G236" s="54"/>
      <c r="H236" s="54"/>
      <c r="I236" s="53"/>
      <c r="J236" s="53"/>
      <c r="K236" s="21"/>
      <c r="L236" s="23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</row>
    <row r="237" spans="1:35" ht="12.75" customHeight="1" x14ac:dyDescent="0.25">
      <c r="A237" s="53"/>
      <c r="B237" s="53"/>
      <c r="C237" s="53"/>
      <c r="D237" s="53"/>
      <c r="E237" s="53"/>
      <c r="F237" s="53"/>
      <c r="G237" s="54"/>
      <c r="H237" s="54"/>
      <c r="I237" s="53"/>
      <c r="J237" s="53"/>
      <c r="K237" s="21"/>
      <c r="L237" s="23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</row>
    <row r="238" spans="1:35" ht="12.75" customHeight="1" x14ac:dyDescent="0.25">
      <c r="A238" s="53"/>
      <c r="B238" s="53"/>
      <c r="C238" s="53"/>
      <c r="D238" s="53"/>
      <c r="E238" s="53"/>
      <c r="F238" s="53"/>
      <c r="G238" s="54"/>
      <c r="H238" s="54"/>
      <c r="I238" s="53"/>
      <c r="J238" s="53"/>
      <c r="K238" s="21"/>
      <c r="L238" s="23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</row>
    <row r="239" spans="1:35" ht="12.75" customHeight="1" x14ac:dyDescent="0.25">
      <c r="A239" s="53"/>
      <c r="B239" s="53"/>
      <c r="C239" s="53"/>
      <c r="D239" s="53"/>
      <c r="E239" s="53"/>
      <c r="F239" s="53"/>
      <c r="G239" s="54"/>
      <c r="H239" s="54"/>
      <c r="I239" s="53"/>
      <c r="J239" s="53"/>
      <c r="K239" s="21"/>
      <c r="L239" s="23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</row>
    <row r="240" spans="1:35" ht="12.75" customHeight="1" x14ac:dyDescent="0.25">
      <c r="A240" s="53"/>
      <c r="B240" s="53"/>
      <c r="C240" s="53"/>
      <c r="D240" s="53"/>
      <c r="E240" s="53"/>
      <c r="F240" s="53"/>
      <c r="G240" s="54"/>
      <c r="H240" s="54"/>
      <c r="I240" s="53"/>
      <c r="J240" s="53"/>
      <c r="K240" s="21"/>
      <c r="L240" s="23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</row>
    <row r="241" spans="1:35" ht="12.75" customHeight="1" x14ac:dyDescent="0.25">
      <c r="A241" s="53"/>
      <c r="B241" s="53"/>
      <c r="C241" s="53"/>
      <c r="D241" s="53"/>
      <c r="E241" s="53"/>
      <c r="F241" s="53"/>
      <c r="G241" s="54"/>
      <c r="H241" s="54"/>
      <c r="I241" s="53"/>
      <c r="J241" s="53"/>
      <c r="K241" s="21"/>
      <c r="L241" s="23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</row>
    <row r="242" spans="1:35" ht="12.75" customHeight="1" x14ac:dyDescent="0.25">
      <c r="A242" s="53"/>
      <c r="B242" s="53"/>
      <c r="C242" s="53"/>
      <c r="D242" s="53"/>
      <c r="E242" s="53"/>
      <c r="F242" s="53"/>
      <c r="G242" s="54"/>
      <c r="H242" s="54"/>
      <c r="I242" s="53"/>
      <c r="J242" s="53"/>
      <c r="K242" s="21"/>
      <c r="L242" s="23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</row>
    <row r="243" spans="1:35" ht="12.75" customHeight="1" x14ac:dyDescent="0.25">
      <c r="A243" s="53"/>
      <c r="B243" s="53"/>
      <c r="C243" s="53"/>
      <c r="D243" s="53"/>
      <c r="E243" s="53"/>
      <c r="F243" s="53"/>
      <c r="G243" s="54"/>
      <c r="H243" s="54"/>
      <c r="I243" s="53"/>
      <c r="J243" s="53"/>
      <c r="K243" s="21"/>
      <c r="L243" s="23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</row>
    <row r="244" spans="1:35" ht="12.75" customHeight="1" x14ac:dyDescent="0.25">
      <c r="A244" s="53"/>
      <c r="B244" s="53"/>
      <c r="C244" s="53"/>
      <c r="D244" s="53"/>
      <c r="E244" s="53"/>
      <c r="F244" s="53"/>
      <c r="G244" s="54"/>
      <c r="H244" s="54"/>
      <c r="I244" s="53"/>
      <c r="J244" s="53"/>
      <c r="K244" s="21"/>
      <c r="L244" s="23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</row>
    <row r="245" spans="1:35" ht="12.75" customHeight="1" x14ac:dyDescent="0.25">
      <c r="A245" s="53"/>
      <c r="B245" s="53"/>
      <c r="C245" s="53"/>
      <c r="D245" s="53"/>
      <c r="E245" s="53"/>
      <c r="F245" s="53"/>
      <c r="G245" s="54"/>
      <c r="H245" s="54"/>
      <c r="I245" s="53"/>
      <c r="J245" s="53"/>
      <c r="K245" s="21"/>
      <c r="L245" s="23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</row>
    <row r="246" spans="1:35" ht="12.75" customHeight="1" x14ac:dyDescent="0.25">
      <c r="A246" s="53"/>
      <c r="B246" s="53"/>
      <c r="C246" s="53"/>
      <c r="D246" s="53"/>
      <c r="E246" s="53"/>
      <c r="F246" s="53"/>
      <c r="G246" s="54"/>
      <c r="H246" s="54"/>
      <c r="I246" s="53"/>
      <c r="J246" s="53"/>
      <c r="K246" s="21"/>
      <c r="L246" s="23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</row>
    <row r="247" spans="1:35" ht="12.75" customHeight="1" x14ac:dyDescent="0.25">
      <c r="A247" s="53"/>
      <c r="B247" s="53"/>
      <c r="C247" s="53"/>
      <c r="D247" s="53"/>
      <c r="E247" s="53"/>
      <c r="F247" s="53"/>
      <c r="G247" s="54"/>
      <c r="H247" s="54"/>
      <c r="I247" s="53"/>
      <c r="J247" s="53"/>
      <c r="K247" s="21"/>
      <c r="L247" s="23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</row>
    <row r="248" spans="1:35" ht="12.75" customHeight="1" x14ac:dyDescent="0.25">
      <c r="A248" s="53"/>
      <c r="B248" s="53"/>
      <c r="C248" s="53"/>
      <c r="D248" s="53"/>
      <c r="E248" s="53"/>
      <c r="F248" s="53"/>
      <c r="G248" s="54"/>
      <c r="H248" s="54"/>
      <c r="I248" s="53"/>
      <c r="J248" s="53"/>
      <c r="K248" s="21"/>
      <c r="L248" s="23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</row>
    <row r="249" spans="1:35" ht="12.75" customHeight="1" x14ac:dyDescent="0.25">
      <c r="A249" s="53"/>
      <c r="B249" s="53"/>
      <c r="C249" s="53"/>
      <c r="D249" s="53"/>
      <c r="E249" s="53"/>
      <c r="F249" s="53"/>
      <c r="G249" s="54"/>
      <c r="H249" s="54"/>
      <c r="I249" s="53"/>
      <c r="J249" s="53"/>
      <c r="K249" s="21"/>
      <c r="L249" s="23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</row>
    <row r="250" spans="1:35" ht="12.75" customHeight="1" x14ac:dyDescent="0.25">
      <c r="A250" s="53"/>
      <c r="B250" s="53"/>
      <c r="C250" s="53"/>
      <c r="D250" s="53"/>
      <c r="E250" s="53"/>
      <c r="F250" s="53"/>
      <c r="G250" s="54"/>
      <c r="H250" s="54"/>
      <c r="I250" s="53"/>
      <c r="J250" s="53"/>
      <c r="K250" s="21"/>
      <c r="L250" s="23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</row>
    <row r="251" spans="1:35" ht="12.75" customHeight="1" x14ac:dyDescent="0.25">
      <c r="A251" s="53"/>
      <c r="B251" s="53"/>
      <c r="C251" s="53"/>
      <c r="D251" s="53"/>
      <c r="E251" s="53"/>
      <c r="F251" s="53"/>
      <c r="G251" s="54"/>
      <c r="H251" s="54"/>
      <c r="I251" s="53"/>
      <c r="J251" s="53"/>
      <c r="K251" s="21"/>
      <c r="L251" s="23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</row>
    <row r="252" spans="1:35" ht="12.75" customHeight="1" x14ac:dyDescent="0.25">
      <c r="A252" s="53"/>
      <c r="B252" s="53"/>
      <c r="C252" s="53"/>
      <c r="D252" s="53"/>
      <c r="E252" s="53"/>
      <c r="F252" s="53"/>
      <c r="G252" s="54"/>
      <c r="H252" s="54"/>
      <c r="I252" s="53"/>
      <c r="J252" s="53"/>
      <c r="K252" s="21"/>
      <c r="L252" s="23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</row>
    <row r="253" spans="1:35" ht="12.75" customHeight="1" x14ac:dyDescent="0.25">
      <c r="A253" s="53"/>
      <c r="B253" s="53"/>
      <c r="C253" s="53"/>
      <c r="D253" s="53"/>
      <c r="E253" s="53"/>
      <c r="F253" s="53"/>
      <c r="G253" s="54"/>
      <c r="H253" s="54"/>
      <c r="I253" s="53"/>
      <c r="J253" s="53"/>
      <c r="K253" s="21"/>
      <c r="L253" s="23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</row>
    <row r="254" spans="1:35" ht="12.75" customHeight="1" x14ac:dyDescent="0.25">
      <c r="A254" s="53"/>
      <c r="B254" s="53"/>
      <c r="C254" s="53"/>
      <c r="D254" s="53"/>
      <c r="E254" s="53"/>
      <c r="F254" s="53"/>
      <c r="G254" s="54"/>
      <c r="H254" s="54"/>
      <c r="I254" s="53"/>
      <c r="J254" s="53"/>
      <c r="K254" s="21"/>
      <c r="L254" s="23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</row>
    <row r="255" spans="1:35" ht="12.75" customHeight="1" x14ac:dyDescent="0.25">
      <c r="A255" s="53"/>
      <c r="B255" s="53"/>
      <c r="C255" s="53"/>
      <c r="D255" s="53"/>
      <c r="E255" s="53"/>
      <c r="F255" s="53"/>
      <c r="G255" s="54"/>
      <c r="H255" s="54"/>
      <c r="I255" s="53"/>
      <c r="J255" s="53"/>
      <c r="K255" s="21"/>
      <c r="L255" s="23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</row>
    <row r="256" spans="1:35" ht="12.75" customHeight="1" x14ac:dyDescent="0.25">
      <c r="A256" s="53"/>
      <c r="B256" s="53"/>
      <c r="C256" s="53"/>
      <c r="D256" s="53"/>
      <c r="E256" s="53"/>
      <c r="F256" s="53"/>
      <c r="G256" s="54"/>
      <c r="H256" s="54"/>
      <c r="I256" s="53"/>
      <c r="J256" s="53"/>
      <c r="K256" s="21"/>
      <c r="L256" s="23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</row>
    <row r="257" spans="1:35" ht="12.75" customHeight="1" x14ac:dyDescent="0.25">
      <c r="A257" s="53"/>
      <c r="B257" s="53"/>
      <c r="C257" s="53"/>
      <c r="D257" s="53"/>
      <c r="E257" s="53"/>
      <c r="F257" s="53"/>
      <c r="G257" s="54"/>
      <c r="H257" s="54"/>
      <c r="I257" s="53"/>
      <c r="J257" s="53"/>
      <c r="K257" s="21"/>
      <c r="L257" s="23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</row>
    <row r="258" spans="1:35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3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</row>
    <row r="259" spans="1:35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3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</row>
    <row r="260" spans="1:35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3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</row>
    <row r="261" spans="1:35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3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</row>
    <row r="262" spans="1:35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3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</row>
    <row r="263" spans="1:35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3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</row>
    <row r="264" spans="1:35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3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</row>
    <row r="265" spans="1:35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3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</row>
    <row r="266" spans="1:35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3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</row>
    <row r="267" spans="1:35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3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</row>
    <row r="268" spans="1:35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3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</row>
    <row r="269" spans="1:35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3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</row>
    <row r="270" spans="1:35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3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</row>
    <row r="271" spans="1:35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3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</row>
    <row r="272" spans="1:35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3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</row>
    <row r="273" spans="1:35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3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</row>
    <row r="274" spans="1:35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3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</row>
    <row r="275" spans="1:35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3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</row>
    <row r="276" spans="1:35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3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</row>
    <row r="277" spans="1:35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3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</row>
    <row r="278" spans="1:35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3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</row>
    <row r="279" spans="1:35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3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</row>
    <row r="280" spans="1:35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3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</row>
    <row r="281" spans="1:35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3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</row>
    <row r="282" spans="1:35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3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</row>
    <row r="283" spans="1:35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3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</row>
    <row r="284" spans="1:35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3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</row>
    <row r="285" spans="1:35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3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</row>
    <row r="286" spans="1:35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3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</row>
    <row r="287" spans="1:35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3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</row>
    <row r="288" spans="1:35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3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</row>
    <row r="289" spans="1:35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3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</row>
    <row r="290" spans="1:35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3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</row>
    <row r="291" spans="1:35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3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</row>
    <row r="292" spans="1:35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3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</row>
    <row r="293" spans="1:35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3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</row>
    <row r="294" spans="1:35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3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</row>
    <row r="295" spans="1:35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3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</row>
    <row r="296" spans="1:35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3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</row>
    <row r="297" spans="1:35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3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</row>
    <row r="298" spans="1:35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3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</row>
    <row r="299" spans="1:35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3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</row>
    <row r="300" spans="1:35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3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</row>
    <row r="301" spans="1:35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3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</row>
    <row r="302" spans="1:35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3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</row>
    <row r="303" spans="1:35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3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</row>
    <row r="304" spans="1:35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3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</row>
    <row r="305" spans="1:35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3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</row>
    <row r="306" spans="1:35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3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</row>
    <row r="307" spans="1:35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3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</row>
    <row r="308" spans="1:35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3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</row>
    <row r="309" spans="1:35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3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</row>
    <row r="310" spans="1:35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3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</row>
    <row r="311" spans="1:35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3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</row>
    <row r="312" spans="1:35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3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</row>
    <row r="313" spans="1:35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3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</row>
    <row r="314" spans="1:35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3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</row>
    <row r="315" spans="1:35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3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</row>
    <row r="316" spans="1:35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3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</row>
    <row r="317" spans="1:35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3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</row>
    <row r="318" spans="1:35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3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</row>
    <row r="319" spans="1:35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3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</row>
    <row r="320" spans="1:35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3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</row>
    <row r="321" spans="1:35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3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</row>
    <row r="322" spans="1:35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3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</row>
    <row r="323" spans="1:35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3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</row>
    <row r="324" spans="1:35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3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</row>
    <row r="325" spans="1:35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3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</row>
    <row r="326" spans="1:35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3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</row>
    <row r="327" spans="1:35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3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</row>
    <row r="328" spans="1:35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3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</row>
    <row r="329" spans="1:35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3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</row>
    <row r="330" spans="1:35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3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</row>
    <row r="331" spans="1:35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3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</row>
    <row r="332" spans="1:35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3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</row>
    <row r="333" spans="1:35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3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</row>
    <row r="334" spans="1:35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3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</row>
    <row r="335" spans="1:35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3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</row>
    <row r="336" spans="1:35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3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</row>
    <row r="337" spans="1:35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3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</row>
    <row r="338" spans="1:35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3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</row>
    <row r="339" spans="1:35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3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</row>
    <row r="340" spans="1:35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3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</row>
    <row r="341" spans="1:35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3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</row>
    <row r="342" spans="1:35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3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</row>
    <row r="343" spans="1:35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3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</row>
    <row r="344" spans="1:35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3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</row>
    <row r="345" spans="1:35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3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</row>
    <row r="346" spans="1:35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3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</row>
    <row r="347" spans="1:35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3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</row>
    <row r="348" spans="1:35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3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</row>
    <row r="349" spans="1:35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3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</row>
    <row r="350" spans="1:35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3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</row>
    <row r="351" spans="1:35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3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</row>
    <row r="352" spans="1:35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3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</row>
    <row r="353" spans="1:35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3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</row>
    <row r="354" spans="1:35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3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</row>
    <row r="355" spans="1:35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3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</row>
    <row r="356" spans="1:35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3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</row>
    <row r="357" spans="1:35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3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</row>
    <row r="358" spans="1:35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3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</row>
    <row r="359" spans="1:35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3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</row>
    <row r="360" spans="1:35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3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</row>
    <row r="361" spans="1:35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3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</row>
    <row r="362" spans="1:35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3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</row>
    <row r="363" spans="1:35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3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</row>
    <row r="364" spans="1:35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3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</row>
    <row r="365" spans="1:35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3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</row>
    <row r="366" spans="1:35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3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</row>
    <row r="367" spans="1:35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3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</row>
    <row r="368" spans="1:35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3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</row>
    <row r="369" spans="1:35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3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</row>
    <row r="370" spans="1:35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3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</row>
    <row r="371" spans="1:35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3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</row>
    <row r="372" spans="1:35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3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</row>
    <row r="373" spans="1:35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3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</row>
    <row r="374" spans="1:35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3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</row>
    <row r="375" spans="1:35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3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</row>
    <row r="376" spans="1:35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3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</row>
    <row r="377" spans="1:35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3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</row>
    <row r="378" spans="1:35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3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</row>
    <row r="379" spans="1:35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3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</row>
    <row r="380" spans="1:35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3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</row>
    <row r="381" spans="1:35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3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</row>
    <row r="382" spans="1:35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3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</row>
    <row r="383" spans="1:35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3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</row>
    <row r="384" spans="1:35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3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</row>
    <row r="385" spans="1:35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3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</row>
    <row r="386" spans="1:35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3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</row>
    <row r="387" spans="1:35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3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</row>
    <row r="388" spans="1:35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3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</row>
    <row r="389" spans="1:35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3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</row>
    <row r="390" spans="1:35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3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</row>
    <row r="391" spans="1:35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3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</row>
    <row r="392" spans="1:35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3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</row>
    <row r="393" spans="1:35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3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</row>
    <row r="394" spans="1:35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3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</row>
    <row r="395" spans="1:35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3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</row>
    <row r="396" spans="1:35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3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</row>
    <row r="397" spans="1:35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3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</row>
    <row r="398" spans="1:35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3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</row>
    <row r="399" spans="1:35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3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</row>
    <row r="400" spans="1:35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3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</row>
    <row r="401" spans="1:35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3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</row>
    <row r="402" spans="1:35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3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</row>
    <row r="403" spans="1:35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3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</row>
    <row r="404" spans="1:35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3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</row>
    <row r="405" spans="1:35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3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</row>
    <row r="406" spans="1:35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3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</row>
    <row r="407" spans="1:35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3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</row>
    <row r="408" spans="1:35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3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</row>
    <row r="409" spans="1:35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3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</row>
    <row r="410" spans="1:35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3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</row>
    <row r="411" spans="1:35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3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</row>
    <row r="412" spans="1:35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3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</row>
    <row r="413" spans="1:35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3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</row>
    <row r="414" spans="1:35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3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</row>
    <row r="415" spans="1:35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3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</row>
    <row r="416" spans="1:35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3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</row>
    <row r="417" spans="1:35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3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</row>
    <row r="418" spans="1:35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3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</row>
    <row r="419" spans="1:35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3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</row>
    <row r="420" spans="1:35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3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</row>
    <row r="421" spans="1:35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3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</row>
    <row r="422" spans="1:35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3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</row>
    <row r="423" spans="1:35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3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</row>
    <row r="424" spans="1:35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3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</row>
    <row r="425" spans="1:35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3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</row>
    <row r="426" spans="1:35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3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</row>
    <row r="427" spans="1:35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3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</row>
    <row r="428" spans="1:35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3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</row>
    <row r="429" spans="1:35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3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</row>
    <row r="430" spans="1:35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3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</row>
    <row r="431" spans="1:35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3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</row>
    <row r="432" spans="1:35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3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</row>
    <row r="433" spans="1:35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3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</row>
    <row r="434" spans="1:35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3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</row>
    <row r="435" spans="1:35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3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</row>
    <row r="436" spans="1:35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3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</row>
    <row r="437" spans="1:35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3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</row>
    <row r="438" spans="1:35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3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</row>
    <row r="439" spans="1:35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3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</row>
    <row r="440" spans="1:35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3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</row>
    <row r="441" spans="1:35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3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</row>
    <row r="442" spans="1:35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3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</row>
    <row r="443" spans="1:35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3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</row>
    <row r="444" spans="1:35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3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</row>
    <row r="445" spans="1:35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3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</row>
    <row r="446" spans="1:35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3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</row>
    <row r="447" spans="1:35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3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</row>
    <row r="448" spans="1:35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3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</row>
    <row r="449" spans="1:35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3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</row>
    <row r="450" spans="1:35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3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</row>
    <row r="451" spans="1:35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3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</row>
    <row r="452" spans="1:35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3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</row>
    <row r="453" spans="1:35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3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</row>
    <row r="454" spans="1:35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3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</row>
    <row r="455" spans="1:35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3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</row>
    <row r="456" spans="1:35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3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</row>
    <row r="457" spans="1:35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3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</row>
    <row r="458" spans="1:35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3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</row>
    <row r="459" spans="1:35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3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</row>
    <row r="460" spans="1:35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3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</row>
    <row r="461" spans="1:35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3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</row>
    <row r="462" spans="1:35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3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</row>
    <row r="463" spans="1:35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3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</row>
    <row r="464" spans="1:35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3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</row>
    <row r="465" spans="1:35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3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</row>
    <row r="466" spans="1:35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3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</row>
    <row r="467" spans="1:35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3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</row>
    <row r="468" spans="1:35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3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</row>
    <row r="469" spans="1:35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3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</row>
    <row r="470" spans="1:35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3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</row>
    <row r="471" spans="1:35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3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</row>
    <row r="472" spans="1:35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3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</row>
    <row r="473" spans="1:35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3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</row>
    <row r="474" spans="1:35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3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</row>
    <row r="475" spans="1:35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3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</row>
    <row r="476" spans="1:35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3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</row>
    <row r="477" spans="1:35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3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</row>
    <row r="478" spans="1:35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3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</row>
    <row r="479" spans="1:35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3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</row>
    <row r="480" spans="1:35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3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</row>
    <row r="481" spans="1:35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3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</row>
    <row r="482" spans="1:35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3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</row>
    <row r="483" spans="1:35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3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</row>
    <row r="484" spans="1:35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3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</row>
    <row r="485" spans="1:35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3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</row>
    <row r="486" spans="1:35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3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</row>
    <row r="487" spans="1:35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3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</row>
    <row r="488" spans="1:35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3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</row>
    <row r="489" spans="1:35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3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</row>
    <row r="490" spans="1:35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3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</row>
    <row r="491" spans="1:35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3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</row>
    <row r="492" spans="1:35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3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</row>
    <row r="493" spans="1:35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3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</row>
    <row r="494" spans="1:35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3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</row>
    <row r="495" spans="1:35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3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</row>
    <row r="496" spans="1:35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3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</row>
    <row r="497" spans="1:35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3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</row>
    <row r="498" spans="1:35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3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</row>
    <row r="499" spans="1:35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3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</row>
    <row r="500" spans="1:35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3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</row>
    <row r="501" spans="1:35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3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</row>
    <row r="502" spans="1:35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3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</row>
    <row r="503" spans="1:35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3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</row>
    <row r="504" spans="1:35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3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</row>
    <row r="505" spans="1:35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3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</row>
    <row r="506" spans="1:35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3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</row>
    <row r="507" spans="1:35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3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</row>
    <row r="508" spans="1:35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3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</row>
    <row r="509" spans="1:35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3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</row>
    <row r="510" spans="1:35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3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</row>
    <row r="511" spans="1:35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3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</row>
    <row r="512" spans="1:35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3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</row>
    <row r="513" spans="1:35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3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</row>
    <row r="514" spans="1:35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3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</row>
    <row r="515" spans="1:35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3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</row>
    <row r="516" spans="1:35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3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</row>
    <row r="517" spans="1:35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3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</row>
    <row r="518" spans="1:35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3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</row>
    <row r="519" spans="1:35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3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</row>
    <row r="520" spans="1:35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3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</row>
    <row r="521" spans="1:35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3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</row>
    <row r="522" spans="1:35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3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</row>
    <row r="523" spans="1:35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3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</row>
    <row r="524" spans="1:35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3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</row>
    <row r="525" spans="1:35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3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</row>
    <row r="526" spans="1:35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3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</row>
    <row r="527" spans="1:35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3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</row>
    <row r="528" spans="1:35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3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</row>
    <row r="529" spans="1:35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3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</row>
    <row r="530" spans="1:35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3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</row>
    <row r="531" spans="1:35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3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</row>
    <row r="532" spans="1:35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3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</row>
    <row r="533" spans="1:35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3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</row>
    <row r="534" spans="1:35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3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</row>
    <row r="535" spans="1:35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3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</row>
    <row r="536" spans="1:35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3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</row>
    <row r="537" spans="1:35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3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</row>
    <row r="538" spans="1:35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3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</row>
    <row r="539" spans="1:35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3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</row>
    <row r="540" spans="1:35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3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</row>
    <row r="541" spans="1:35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3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</row>
    <row r="542" spans="1:35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3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</row>
    <row r="543" spans="1:35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3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</row>
    <row r="544" spans="1:35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3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</row>
    <row r="545" spans="1:35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3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</row>
    <row r="546" spans="1:35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3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</row>
    <row r="547" spans="1:35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3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</row>
    <row r="548" spans="1:35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3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</row>
    <row r="549" spans="1:35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3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</row>
    <row r="550" spans="1:35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3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</row>
    <row r="551" spans="1:35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3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</row>
    <row r="552" spans="1:35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3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</row>
    <row r="553" spans="1:35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3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</row>
    <row r="554" spans="1:35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3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</row>
    <row r="555" spans="1:35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3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</row>
    <row r="556" spans="1:35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3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</row>
    <row r="557" spans="1:35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3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</row>
    <row r="558" spans="1:35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3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</row>
    <row r="559" spans="1:35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3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</row>
    <row r="560" spans="1:35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3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</row>
    <row r="561" spans="1:35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3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</row>
    <row r="562" spans="1:35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3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</row>
    <row r="563" spans="1:35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3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</row>
    <row r="564" spans="1:35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3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</row>
    <row r="565" spans="1:35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3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</row>
    <row r="566" spans="1:35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3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</row>
    <row r="567" spans="1:35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3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</row>
    <row r="568" spans="1:35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3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</row>
    <row r="569" spans="1:35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3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</row>
    <row r="570" spans="1:35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3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</row>
    <row r="571" spans="1:35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3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</row>
    <row r="572" spans="1:35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3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</row>
    <row r="573" spans="1:35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3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</row>
    <row r="574" spans="1:35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3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</row>
    <row r="575" spans="1:35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3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</row>
    <row r="576" spans="1:35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3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</row>
    <row r="577" spans="1:35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3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</row>
    <row r="578" spans="1:35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3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</row>
    <row r="579" spans="1:35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3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</row>
    <row r="580" spans="1:35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3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</row>
    <row r="581" spans="1:35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3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</row>
    <row r="582" spans="1:35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3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</row>
    <row r="583" spans="1:35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3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</row>
    <row r="584" spans="1:35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3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</row>
    <row r="585" spans="1:35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3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</row>
    <row r="586" spans="1:35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3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</row>
    <row r="587" spans="1:35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3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</row>
    <row r="588" spans="1:35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3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</row>
    <row r="589" spans="1:35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3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</row>
    <row r="590" spans="1:35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3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</row>
    <row r="591" spans="1:35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3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</row>
    <row r="592" spans="1:35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3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</row>
    <row r="593" spans="1:35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3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</row>
    <row r="594" spans="1:35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3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</row>
    <row r="595" spans="1:35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3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</row>
    <row r="596" spans="1:35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3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</row>
    <row r="597" spans="1:35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3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</row>
    <row r="598" spans="1:35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3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</row>
    <row r="599" spans="1:35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3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</row>
    <row r="600" spans="1:35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3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</row>
    <row r="601" spans="1:35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3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</row>
    <row r="602" spans="1:35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3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</row>
    <row r="603" spans="1:35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3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</row>
    <row r="604" spans="1:35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3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</row>
    <row r="605" spans="1:35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3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</row>
    <row r="606" spans="1:35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3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</row>
    <row r="607" spans="1:35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3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</row>
    <row r="608" spans="1:35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3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</row>
    <row r="609" spans="1:35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3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</row>
    <row r="610" spans="1:35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3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</row>
    <row r="611" spans="1:35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3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</row>
    <row r="612" spans="1:35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3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</row>
    <row r="613" spans="1:35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3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</row>
    <row r="614" spans="1:35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3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</row>
    <row r="615" spans="1:35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3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</row>
    <row r="616" spans="1:35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3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</row>
    <row r="617" spans="1:35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3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</row>
    <row r="618" spans="1:35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3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</row>
    <row r="619" spans="1:35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3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</row>
    <row r="620" spans="1:35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3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</row>
    <row r="621" spans="1:35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3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</row>
    <row r="622" spans="1:35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3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</row>
    <row r="623" spans="1:35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3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</row>
    <row r="624" spans="1:35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3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</row>
    <row r="625" spans="1:35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3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</row>
    <row r="626" spans="1:35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3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</row>
    <row r="627" spans="1:35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3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</row>
    <row r="628" spans="1:35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3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</row>
    <row r="629" spans="1:35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3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</row>
    <row r="630" spans="1:35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3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</row>
    <row r="631" spans="1:35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3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</row>
    <row r="632" spans="1:35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3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</row>
    <row r="633" spans="1:35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3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</row>
    <row r="634" spans="1:35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3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</row>
    <row r="635" spans="1:35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3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</row>
    <row r="636" spans="1:35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3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</row>
    <row r="637" spans="1:35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3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</row>
    <row r="638" spans="1:35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3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</row>
    <row r="639" spans="1:35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3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</row>
    <row r="640" spans="1:35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3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</row>
    <row r="641" spans="1:35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3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</row>
    <row r="642" spans="1:35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3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</row>
    <row r="643" spans="1:35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3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</row>
    <row r="644" spans="1:35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3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</row>
    <row r="645" spans="1:35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3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</row>
    <row r="646" spans="1:35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3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</row>
    <row r="647" spans="1:35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3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</row>
    <row r="648" spans="1:35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3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</row>
    <row r="649" spans="1:35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3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</row>
    <row r="650" spans="1:35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3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</row>
    <row r="651" spans="1:35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3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</row>
    <row r="652" spans="1:35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3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</row>
    <row r="653" spans="1:35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3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</row>
    <row r="654" spans="1:35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3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</row>
    <row r="655" spans="1:35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3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</row>
    <row r="656" spans="1:35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3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</row>
    <row r="657" spans="1:35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3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</row>
    <row r="658" spans="1:35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3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</row>
    <row r="659" spans="1:35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3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</row>
    <row r="660" spans="1:35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3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</row>
    <row r="661" spans="1:35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3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</row>
    <row r="662" spans="1:35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3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</row>
    <row r="663" spans="1:35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3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</row>
    <row r="664" spans="1:35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3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</row>
    <row r="665" spans="1:35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3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</row>
    <row r="666" spans="1:35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3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</row>
    <row r="667" spans="1:35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3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</row>
    <row r="668" spans="1:35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3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</row>
    <row r="669" spans="1:35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3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</row>
    <row r="670" spans="1:35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3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</row>
    <row r="671" spans="1:35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3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</row>
    <row r="672" spans="1:35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3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</row>
    <row r="673" spans="1:35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3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</row>
    <row r="674" spans="1:35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3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</row>
    <row r="675" spans="1:35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3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</row>
    <row r="676" spans="1:35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3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</row>
    <row r="677" spans="1:35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3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</row>
    <row r="678" spans="1:35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3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</row>
    <row r="679" spans="1:35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3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</row>
    <row r="680" spans="1:35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3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</row>
    <row r="681" spans="1:35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3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</row>
    <row r="682" spans="1:35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3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</row>
    <row r="683" spans="1:35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3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</row>
    <row r="684" spans="1:35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3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</row>
    <row r="685" spans="1:35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3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</row>
    <row r="686" spans="1:35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3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</row>
    <row r="687" spans="1:35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3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</row>
    <row r="688" spans="1:35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3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</row>
    <row r="689" spans="1:35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3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</row>
    <row r="690" spans="1:35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3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</row>
    <row r="691" spans="1:35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3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</row>
    <row r="692" spans="1:35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3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</row>
    <row r="693" spans="1:35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3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</row>
    <row r="694" spans="1:35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3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</row>
    <row r="695" spans="1:35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3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</row>
    <row r="696" spans="1:35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3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</row>
    <row r="697" spans="1:35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3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</row>
    <row r="698" spans="1:35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3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</row>
    <row r="699" spans="1:35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3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</row>
    <row r="700" spans="1:35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3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</row>
    <row r="701" spans="1:35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3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</row>
    <row r="702" spans="1:35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3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</row>
    <row r="703" spans="1:35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3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</row>
    <row r="704" spans="1:35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3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</row>
    <row r="705" spans="1:35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3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</row>
    <row r="706" spans="1:35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3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</row>
    <row r="707" spans="1:35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3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</row>
    <row r="708" spans="1:35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3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</row>
    <row r="709" spans="1:35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3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</row>
    <row r="710" spans="1:35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3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</row>
    <row r="711" spans="1:35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3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</row>
    <row r="712" spans="1:35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3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</row>
    <row r="713" spans="1:35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3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</row>
    <row r="714" spans="1:35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3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</row>
    <row r="715" spans="1:35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3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</row>
    <row r="716" spans="1:35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3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</row>
    <row r="717" spans="1:35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3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</row>
    <row r="718" spans="1:35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3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</row>
    <row r="719" spans="1:35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3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</row>
    <row r="720" spans="1:35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3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</row>
    <row r="721" spans="1:35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3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</row>
    <row r="722" spans="1:35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3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</row>
    <row r="723" spans="1:35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3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</row>
    <row r="724" spans="1:35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3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</row>
    <row r="725" spans="1:35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3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</row>
    <row r="726" spans="1:35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3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</row>
    <row r="727" spans="1:35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3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</row>
    <row r="728" spans="1:35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3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</row>
    <row r="729" spans="1:35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3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</row>
    <row r="730" spans="1:35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3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</row>
    <row r="731" spans="1:35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3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</row>
    <row r="732" spans="1:35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3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</row>
    <row r="733" spans="1:35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3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</row>
    <row r="734" spans="1:35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3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</row>
    <row r="735" spans="1:35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3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</row>
    <row r="736" spans="1:35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3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</row>
    <row r="737" spans="1:35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3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</row>
    <row r="738" spans="1:35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3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</row>
    <row r="739" spans="1:35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3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</row>
    <row r="740" spans="1:35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3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</row>
    <row r="741" spans="1:35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3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</row>
    <row r="742" spans="1:35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3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</row>
    <row r="743" spans="1:35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3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</row>
    <row r="744" spans="1:35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3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</row>
    <row r="745" spans="1:35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3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</row>
    <row r="746" spans="1:35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3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</row>
    <row r="747" spans="1:35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3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</row>
    <row r="748" spans="1:35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3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</row>
    <row r="749" spans="1:35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3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</row>
    <row r="750" spans="1:35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3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</row>
    <row r="751" spans="1:35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3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</row>
    <row r="752" spans="1:35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3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</row>
    <row r="753" spans="1:35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3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</row>
    <row r="754" spans="1:35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3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</row>
    <row r="755" spans="1:35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3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</row>
    <row r="756" spans="1:35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3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</row>
    <row r="757" spans="1:35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3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</row>
    <row r="758" spans="1:35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3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</row>
    <row r="759" spans="1:35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3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</row>
    <row r="760" spans="1:35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3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</row>
    <row r="761" spans="1:35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3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</row>
    <row r="762" spans="1:35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3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</row>
    <row r="763" spans="1:35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3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</row>
    <row r="764" spans="1:35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3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</row>
    <row r="765" spans="1:35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3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</row>
    <row r="766" spans="1:35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3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</row>
    <row r="767" spans="1:35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3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</row>
    <row r="768" spans="1:35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3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</row>
    <row r="769" spans="1:35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3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</row>
    <row r="770" spans="1:35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3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</row>
    <row r="771" spans="1:35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3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</row>
    <row r="772" spans="1:35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3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</row>
    <row r="773" spans="1:35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3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</row>
    <row r="774" spans="1:35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3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</row>
    <row r="775" spans="1:35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3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</row>
    <row r="776" spans="1:35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3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</row>
    <row r="777" spans="1:35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3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</row>
    <row r="778" spans="1:35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3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</row>
    <row r="779" spans="1:35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3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</row>
    <row r="780" spans="1:35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3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</row>
    <row r="781" spans="1:35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3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</row>
    <row r="782" spans="1:35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3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</row>
    <row r="783" spans="1:35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3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</row>
    <row r="784" spans="1:35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3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</row>
    <row r="785" spans="1:35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3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</row>
    <row r="786" spans="1:35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3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</row>
    <row r="787" spans="1:35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3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</row>
    <row r="788" spans="1:35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3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</row>
    <row r="789" spans="1:35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3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</row>
    <row r="790" spans="1:35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3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</row>
    <row r="791" spans="1:35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3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</row>
    <row r="792" spans="1:35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3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</row>
    <row r="793" spans="1:35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3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</row>
    <row r="794" spans="1:35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3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</row>
    <row r="795" spans="1:35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3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</row>
    <row r="796" spans="1:35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3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</row>
    <row r="797" spans="1:35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3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</row>
    <row r="798" spans="1:35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3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</row>
    <row r="799" spans="1:35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3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</row>
    <row r="800" spans="1:35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3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</row>
    <row r="801" spans="1:35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3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</row>
    <row r="802" spans="1:35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3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</row>
    <row r="803" spans="1:35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3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</row>
    <row r="804" spans="1:35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3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</row>
    <row r="805" spans="1:35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3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</row>
    <row r="806" spans="1:35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3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</row>
    <row r="807" spans="1:35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3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</row>
    <row r="808" spans="1:35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3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</row>
    <row r="809" spans="1:35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3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</row>
    <row r="810" spans="1:35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3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</row>
    <row r="811" spans="1:35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3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</row>
    <row r="812" spans="1:35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3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</row>
    <row r="813" spans="1:35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3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</row>
    <row r="814" spans="1:35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3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</row>
    <row r="815" spans="1:35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3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</row>
    <row r="816" spans="1:35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3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</row>
    <row r="817" spans="1:35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3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</row>
    <row r="818" spans="1:35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3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</row>
    <row r="819" spans="1:35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3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</row>
    <row r="820" spans="1:35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3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</row>
    <row r="821" spans="1:35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3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</row>
    <row r="822" spans="1:35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3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</row>
    <row r="823" spans="1:35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3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</row>
    <row r="824" spans="1:35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3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</row>
    <row r="825" spans="1:35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3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</row>
    <row r="826" spans="1:35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3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</row>
    <row r="827" spans="1:35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3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</row>
    <row r="828" spans="1:35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3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</row>
    <row r="829" spans="1:35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3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</row>
    <row r="830" spans="1:35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3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</row>
    <row r="831" spans="1:35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3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</row>
    <row r="832" spans="1:35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3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</row>
    <row r="833" spans="1:35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3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</row>
    <row r="834" spans="1:35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3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</row>
    <row r="835" spans="1:35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3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</row>
    <row r="836" spans="1:35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3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</row>
    <row r="837" spans="1:35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3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</row>
    <row r="838" spans="1:35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3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</row>
    <row r="839" spans="1:35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3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</row>
    <row r="840" spans="1:35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3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</row>
    <row r="841" spans="1:35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3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</row>
    <row r="842" spans="1:35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3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</row>
    <row r="843" spans="1:35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3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</row>
    <row r="844" spans="1:35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3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</row>
    <row r="845" spans="1:35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3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</row>
    <row r="846" spans="1:35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3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</row>
    <row r="847" spans="1:35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3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</row>
    <row r="848" spans="1:35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3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</row>
    <row r="849" spans="1:35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3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</row>
    <row r="850" spans="1:35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3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</row>
    <row r="851" spans="1:35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3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</row>
    <row r="852" spans="1:35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3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</row>
    <row r="853" spans="1:35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3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</row>
    <row r="854" spans="1:35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3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</row>
    <row r="855" spans="1:35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3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</row>
    <row r="856" spans="1:35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3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</row>
    <row r="857" spans="1:35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3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</row>
    <row r="858" spans="1:35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3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</row>
    <row r="859" spans="1:35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3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</row>
    <row r="860" spans="1:35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3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</row>
    <row r="861" spans="1:35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3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</row>
    <row r="862" spans="1:35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3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</row>
    <row r="863" spans="1:35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3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</row>
    <row r="864" spans="1:35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3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</row>
    <row r="865" spans="1:35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3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</row>
    <row r="866" spans="1:35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3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</row>
    <row r="867" spans="1:35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3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</row>
    <row r="868" spans="1:35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3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</row>
    <row r="869" spans="1:35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3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</row>
    <row r="870" spans="1:35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3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</row>
    <row r="871" spans="1:35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3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</row>
    <row r="872" spans="1:35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3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</row>
    <row r="873" spans="1:35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3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</row>
    <row r="874" spans="1:35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3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</row>
    <row r="875" spans="1:35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3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</row>
    <row r="876" spans="1:35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3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</row>
    <row r="877" spans="1:35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3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</row>
    <row r="878" spans="1:35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3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</row>
    <row r="879" spans="1:35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3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</row>
    <row r="880" spans="1:35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3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</row>
    <row r="881" spans="1:35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3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</row>
    <row r="882" spans="1:35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3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</row>
    <row r="883" spans="1:35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3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</row>
    <row r="884" spans="1:35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3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</row>
    <row r="885" spans="1:35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3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</row>
    <row r="886" spans="1:35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3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</row>
    <row r="887" spans="1:35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3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</row>
    <row r="888" spans="1:35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3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</row>
    <row r="889" spans="1:35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3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</row>
    <row r="890" spans="1:35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3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</row>
    <row r="891" spans="1:35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3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</row>
    <row r="892" spans="1:35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3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</row>
    <row r="893" spans="1:35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3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</row>
    <row r="894" spans="1:35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3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</row>
    <row r="895" spans="1:35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3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</row>
    <row r="896" spans="1:35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3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</row>
    <row r="897" spans="1:35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3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</row>
    <row r="898" spans="1:35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3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</row>
    <row r="899" spans="1:35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3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</row>
    <row r="900" spans="1:35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3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</row>
    <row r="901" spans="1:35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3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</row>
    <row r="902" spans="1:35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3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</row>
    <row r="903" spans="1:35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3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</row>
    <row r="904" spans="1:35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3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</row>
    <row r="905" spans="1:35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3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</row>
    <row r="906" spans="1:35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3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</row>
    <row r="907" spans="1:35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3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</row>
    <row r="908" spans="1:35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3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</row>
    <row r="909" spans="1:35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3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</row>
    <row r="910" spans="1:35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3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</row>
    <row r="911" spans="1:35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3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</row>
    <row r="912" spans="1:35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3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</row>
    <row r="913" spans="1:35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3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</row>
    <row r="914" spans="1:35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3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</row>
    <row r="915" spans="1:35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3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</row>
    <row r="916" spans="1:35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3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</row>
    <row r="917" spans="1:35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3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</row>
    <row r="918" spans="1:35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3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</row>
    <row r="919" spans="1:35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3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</row>
    <row r="920" spans="1:35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3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</row>
    <row r="921" spans="1:35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3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</row>
    <row r="922" spans="1:35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3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</row>
    <row r="923" spans="1:35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3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</row>
    <row r="924" spans="1:35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3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</row>
    <row r="925" spans="1:35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3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</row>
    <row r="926" spans="1:35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3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</row>
    <row r="927" spans="1:35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3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</row>
    <row r="928" spans="1:35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3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</row>
    <row r="929" spans="1:35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3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</row>
    <row r="930" spans="1:35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3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</row>
    <row r="931" spans="1:35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3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</row>
    <row r="932" spans="1:35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3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</row>
    <row r="933" spans="1:35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3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</row>
    <row r="934" spans="1:35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3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</row>
    <row r="935" spans="1:35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3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</row>
    <row r="936" spans="1:35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3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</row>
    <row r="937" spans="1:35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3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</row>
    <row r="938" spans="1:35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3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</row>
    <row r="939" spans="1:35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3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</row>
    <row r="940" spans="1:35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3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</row>
    <row r="941" spans="1:35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3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</row>
    <row r="942" spans="1:35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3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</row>
  </sheetData>
  <mergeCells count="3">
    <mergeCell ref="A1:C1"/>
    <mergeCell ref="A2:C2"/>
    <mergeCell ref="A3:B3"/>
  </mergeCells>
  <conditionalFormatting sqref="A11:F344 I11:J344">
    <cfRule type="expression" dxfId="9" priority="1" stopIfTrue="1">
      <formula>$A11&lt;&gt;""</formula>
    </cfRule>
  </conditionalFormatting>
  <conditionalFormatting sqref="G11:G344">
    <cfRule type="cellIs" dxfId="8" priority="2" stopIfTrue="1" operator="greaterThan">
      <formula>$O$3</formula>
    </cfRule>
    <cfRule type="expression" dxfId="7" priority="3" stopIfTrue="1">
      <formula>$A11&lt;&gt;""</formula>
    </cfRule>
  </conditionalFormatting>
  <conditionalFormatting sqref="H11:H344">
    <cfRule type="expression" dxfId="6" priority="4" stopIfTrue="1">
      <formula>L11="N"</formula>
    </cfRule>
    <cfRule type="expression" dxfId="5" priority="5" stopIfTrue="1">
      <formula>$A11&lt;&gt;""</formula>
    </cfRule>
  </conditionalFormatting>
  <dataValidations count="2">
    <dataValidation type="list" allowBlank="1" showErrorMessage="1" sqref="D11:D938" xr:uid="{00000000-0002-0000-0300-000000000000}">
      <formula1>"Interno,Externo"</formula1>
    </dataValidation>
    <dataValidation type="list" allowBlank="1" showErrorMessage="1" sqref="E11:E938" xr:uid="{00000000-0002-0000-0300-000001000000}">
      <formula1>"Diaria,Semanal,Quincenal,Mensual,Bimensual,Trimestral,Semestral,Anual,Bianual,Trianual,Quinquenal,Decenal"</formula1>
    </dataValidation>
  </dataValidations>
  <pageMargins left="0.42777777777777776" right="0.28472222222222221" top="0.89444444444444449" bottom="0.24513888888888888" header="0" footer="0"/>
  <pageSetup paperSize="8" scale="12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Portada</vt:lpstr>
      <vt:lpstr>LAB 201</vt:lpstr>
      <vt:lpstr>LAB 203</vt:lpstr>
      <vt:lpstr>LAB 205</vt:lpstr>
      <vt:lpstr>LAB 207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Secretaria</dc:creator>
  <cp:lastModifiedBy>Paloma Fernandez</cp:lastModifiedBy>
  <dcterms:created xsi:type="dcterms:W3CDTF">2024-05-14T12:59:29Z</dcterms:created>
  <dcterms:modified xsi:type="dcterms:W3CDTF">2026-05-14T17:35:47Z</dcterms:modified>
</cp:coreProperties>
</file>